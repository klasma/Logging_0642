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46309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46309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46309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46309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46309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46309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46309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46309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46309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46309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46309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46309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46309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46309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46309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46309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14230-2024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45393</v>
      </c>
      <c r="E25" s="1" t="n">
        <v>46309</v>
      </c>
      <c r="F25" t="inlineStr">
        <is>
          <t>JÖNKÖPINGS LÄN</t>
        </is>
      </c>
      <c r="G25" t="inlineStr">
        <is>
          <t>MULLSJÖ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Guldlockmossa</t>
        </is>
      </c>
      <c r="W25">
        <f>HYPERLINK("https://klasma.github.io/Logging_0642/artfynd/A 14230-2024 artfynd.xlsx", "A 14230-2024")</f>
        <v/>
      </c>
      <c r="X25">
        <f>HYPERLINK("https://klasma.github.io/Logging_0642/kartor/A 14230-2024 karta.png", "A 14230-2024")</f>
        <v/>
      </c>
      <c r="Y25">
        <f>HYPERLINK("https://klasma.github.io/Logging_0642/kartor_geotiff/A 14230-2024 georefererad karta.tif", "A 14230-2024")</f>
        <v/>
      </c>
      <c r="AA25">
        <f>HYPERLINK("https://klasma.github.io/Logging_0642/klagomål/A 14230-2024 FSC-klagomål.docx", "A 14230-2024")</f>
        <v/>
      </c>
      <c r="AB25">
        <f>HYPERLINK("https://klasma.github.io/Logging_0642/klagomålsmail/A 14230-2024 FSC-klagomål mail.docx", "A 14230-2024")</f>
        <v/>
      </c>
      <c r="AC25">
        <f>HYPERLINK("https://klasma.github.io/Logging_0642/tillsyn/A 14230-2024 tillsynsbegäran.docx", "A 14230-2024")</f>
        <v/>
      </c>
      <c r="AD25">
        <f>HYPERLINK("https://klasma.github.io/Logging_0642/tillsynsmail/A 14230-2024 tillsynsbegäran mail.docx", "A 14230-2024")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46309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46309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46309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46309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46309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46309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46309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57229-2021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44483</v>
      </c>
      <c r="E33" s="1" t="n">
        <v>46309</v>
      </c>
      <c r="F33" t="inlineStr">
        <is>
          <t>JÖNKÖPINGS LÄN</t>
        </is>
      </c>
      <c r="G33" t="inlineStr">
        <is>
          <t>MULLSJÖ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46309</v>
      </c>
      <c r="F34" t="inlineStr">
        <is>
          <t>JÖNKÖPINGS LÄN</t>
        </is>
      </c>
      <c r="G34" t="inlineStr">
        <is>
          <t>MULLSJÖ</t>
        </is>
      </c>
      <c r="I34" t="n">
        <v>16.8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44649</v>
      </c>
      <c r="E35" s="1" t="n">
        <v>46309</v>
      </c>
      <c r="F35" t="inlineStr">
        <is>
          <t>JÖNKÖPINGS LÄN</t>
        </is>
      </c>
      <c r="G35" t="inlineStr">
        <is>
          <t>MULLSJÖ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44503</v>
      </c>
      <c r="E36" s="1" t="n">
        <v>46309</v>
      </c>
      <c r="F36" t="inlineStr">
        <is>
          <t>JÖNKÖPINGS LÄN</t>
        </is>
      </c>
      <c r="G36" t="inlineStr">
        <is>
          <t>MULLSJÖ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46309</v>
      </c>
      <c r="F37" t="inlineStr">
        <is>
          <t>JÖNKÖPINGS LÄN</t>
        </is>
      </c>
      <c r="G37" t="inlineStr">
        <is>
          <t>MULLSJÖ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44707</v>
      </c>
      <c r="E38" s="1" t="n">
        <v>46309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44665</v>
      </c>
      <c r="E39" s="1" t="n">
        <v>46309</v>
      </c>
      <c r="F39" t="inlineStr">
        <is>
          <t>JÖNKÖPINGS LÄN</t>
        </is>
      </c>
      <c r="G39" t="inlineStr">
        <is>
          <t>MULLSJÖ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46309</v>
      </c>
      <c r="F40" t="inlineStr">
        <is>
          <t>JÖNKÖPINGS LÄN</t>
        </is>
      </c>
      <c r="G40" t="inlineStr">
        <is>
          <t>MULLSJÖ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46309</v>
      </c>
      <c r="F41" t="inlineStr">
        <is>
          <t>JÖNKÖPINGS LÄN</t>
        </is>
      </c>
      <c r="G41" t="inlineStr">
        <is>
          <t>MULLSJÖ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39353-2022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46309</v>
      </c>
      <c r="F42" t="inlineStr">
        <is>
          <t>JÖNKÖPINGS LÄN</t>
        </is>
      </c>
      <c r="G42" t="inlineStr">
        <is>
          <t>MULLSJÖ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46309</v>
      </c>
      <c r="F43" t="inlineStr">
        <is>
          <t>JÖNKÖPINGS LÄN</t>
        </is>
      </c>
      <c r="G43" t="inlineStr">
        <is>
          <t>MULLSJÖ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45484</v>
      </c>
      <c r="E44" s="1" t="n">
        <v>46309</v>
      </c>
      <c r="F44" t="inlineStr">
        <is>
          <t>JÖNKÖPINGS LÄN</t>
        </is>
      </c>
      <c r="G44" t="inlineStr">
        <is>
          <t>MULLSJÖ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42872-2022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44832</v>
      </c>
      <c r="E45" s="1" t="n">
        <v>46309</v>
      </c>
      <c r="F45" t="inlineStr">
        <is>
          <t>JÖNKÖPINGS LÄN</t>
        </is>
      </c>
      <c r="G45" t="inlineStr">
        <is>
          <t>MULLSJÖ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45455</v>
      </c>
      <c r="E46" s="1" t="n">
        <v>46309</v>
      </c>
      <c r="F46" t="inlineStr">
        <is>
          <t>JÖNKÖPINGS LÄN</t>
        </is>
      </c>
      <c r="G46" t="inlineStr">
        <is>
          <t>MULLSJÖ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46309</v>
      </c>
      <c r="F47" t="inlineStr">
        <is>
          <t>JÖNKÖPINGS LÄN</t>
        </is>
      </c>
      <c r="G47" t="inlineStr">
        <is>
          <t>MULLSJÖ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57025-2022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46309</v>
      </c>
      <c r="F48" t="inlineStr">
        <is>
          <t>JÖNKÖPINGS LÄN</t>
        </is>
      </c>
      <c r="G48" t="inlineStr">
        <is>
          <t>MULLSJÖ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14033-2025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45740</v>
      </c>
      <c r="E49" s="1" t="n">
        <v>46309</v>
      </c>
      <c r="F49" t="inlineStr">
        <is>
          <t>JÖNKÖPINGS LÄN</t>
        </is>
      </c>
      <c r="G49" t="inlineStr">
        <is>
          <t>MULLSJÖ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46309</v>
      </c>
      <c r="F50" t="inlineStr">
        <is>
          <t>JÖNKÖPINGS LÄN</t>
        </is>
      </c>
      <c r="G50" t="inlineStr">
        <is>
          <t>MULLSJÖ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46309</v>
      </c>
      <c r="F51" t="inlineStr">
        <is>
          <t>JÖNKÖPINGS LÄN</t>
        </is>
      </c>
      <c r="G51" t="inlineStr">
        <is>
          <t>MULLSJÖ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46309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46309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46309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14029-2025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45740</v>
      </c>
      <c r="E55" s="1" t="n">
        <v>46309</v>
      </c>
      <c r="F55" t="inlineStr">
        <is>
          <t>JÖNKÖPINGS LÄN</t>
        </is>
      </c>
      <c r="G55" t="inlineStr">
        <is>
          <t>MULLSJÖ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46309</v>
      </c>
      <c r="F56" t="inlineStr">
        <is>
          <t>JÖNKÖPINGS LÄN</t>
        </is>
      </c>
      <c r="G56" t="inlineStr">
        <is>
          <t>MULLSJÖ</t>
        </is>
      </c>
      <c r="I56" t="n">
        <v>10.9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46309</v>
      </c>
      <c r="F57" t="inlineStr">
        <is>
          <t>JÖNKÖPINGS LÄN</t>
        </is>
      </c>
      <c r="G57" t="inlineStr">
        <is>
          <t>MULLSJÖ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46031</v>
      </c>
      <c r="E58" s="1" t="n">
        <v>46309</v>
      </c>
      <c r="F58" t="inlineStr">
        <is>
          <t>JÖNKÖPINGS LÄN</t>
        </is>
      </c>
      <c r="G58" t="inlineStr">
        <is>
          <t>MULLSJÖ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46309</v>
      </c>
      <c r="F59" t="inlineStr">
        <is>
          <t>JÖNKÖPINGS LÄN</t>
        </is>
      </c>
      <c r="G59" t="inlineStr">
        <is>
          <t>MULLSJÖ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45804</v>
      </c>
      <c r="E60" s="1" t="n">
        <v>46309</v>
      </c>
      <c r="F60" t="inlineStr">
        <is>
          <t>JÖNKÖPINGS LÄN</t>
        </is>
      </c>
      <c r="G60" t="inlineStr">
        <is>
          <t>MULLSJÖ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45529</v>
      </c>
      <c r="E61" s="1" t="n">
        <v>46309</v>
      </c>
      <c r="F61" t="inlineStr">
        <is>
          <t>JÖNKÖPINGS LÄN</t>
        </is>
      </c>
      <c r="G61" t="inlineStr">
        <is>
          <t>MULLSJÖ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46309</v>
      </c>
      <c r="F62" t="inlineStr">
        <is>
          <t>JÖNKÖPINGS LÄN</t>
        </is>
      </c>
      <c r="G62" t="inlineStr">
        <is>
          <t>MULLSJÖ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44889</v>
      </c>
      <c r="E63" s="1" t="n">
        <v>46309</v>
      </c>
      <c r="F63" t="inlineStr">
        <is>
          <t>JÖNKÖPINGS LÄN</t>
        </is>
      </c>
      <c r="G63" t="inlineStr">
        <is>
          <t>MULLSJÖ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45904</v>
      </c>
      <c r="E64" s="1" t="n">
        <v>46309</v>
      </c>
      <c r="F64" t="inlineStr">
        <is>
          <t>JÖNKÖPINGS LÄN</t>
        </is>
      </c>
      <c r="G64" t="inlineStr">
        <is>
          <t>MULLSJÖ</t>
        </is>
      </c>
      <c r="H64" t="inlineStr">
        <is>
          <t>Kyrkan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45521</v>
      </c>
      <c r="E65" s="1" t="n">
        <v>46309</v>
      </c>
      <c r="F65" t="inlineStr">
        <is>
          <t>JÖNKÖPINGS LÄN</t>
        </is>
      </c>
      <c r="G65" t="inlineStr">
        <is>
          <t>MULLSJÖ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46309</v>
      </c>
      <c r="F66" t="inlineStr">
        <is>
          <t>JÖNKÖPINGS LÄN</t>
        </is>
      </c>
      <c r="G66" t="inlineStr">
        <is>
          <t>MULLSJÖ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46309</v>
      </c>
      <c r="F67" t="inlineStr">
        <is>
          <t>JÖNKÖPINGS LÄN</t>
        </is>
      </c>
      <c r="G67" t="inlineStr">
        <is>
          <t>MULLSJÖ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46309</v>
      </c>
      <c r="F68" t="inlineStr">
        <is>
          <t>JÖNKÖPINGS LÄN</t>
        </is>
      </c>
      <c r="G68" t="inlineStr">
        <is>
          <t>MULLSJÖ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46309</v>
      </c>
      <c r="F69" t="inlineStr">
        <is>
          <t>JÖNKÖPINGS LÄN</t>
        </is>
      </c>
      <c r="G69" t="inlineStr">
        <is>
          <t>MULLSJÖ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57500-2022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44896</v>
      </c>
      <c r="E70" s="1" t="n">
        <v>46309</v>
      </c>
      <c r="F70" t="inlineStr">
        <is>
          <t>JÖNKÖPINGS LÄN</t>
        </is>
      </c>
      <c r="G70" t="inlineStr">
        <is>
          <t>MULLSJÖ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14226-2024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45393</v>
      </c>
      <c r="E71" s="1" t="n">
        <v>46309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46309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46309</v>
      </c>
      <c r="F73" t="inlineStr">
        <is>
          <t>JÖNKÖPINGS LÄN</t>
        </is>
      </c>
      <c r="G73" t="inlineStr">
        <is>
          <t>MULLSJÖ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46309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45928</v>
      </c>
      <c r="E75" s="1" t="n">
        <v>46309</v>
      </c>
      <c r="F75" t="inlineStr">
        <is>
          <t>JÖNKÖPINGS LÄN</t>
        </is>
      </c>
      <c r="G75" t="inlineStr">
        <is>
          <t>MULLSJÖ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46309</v>
      </c>
      <c r="F76" t="inlineStr">
        <is>
          <t>JÖNKÖPINGS LÄN</t>
        </is>
      </c>
      <c r="G76" t="inlineStr">
        <is>
          <t>MULLSJÖ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46309</v>
      </c>
      <c r="F77" t="inlineStr">
        <is>
          <t>JÖNKÖPINGS LÄN</t>
        </is>
      </c>
      <c r="G77" t="inlineStr">
        <is>
          <t>MULLSJÖ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44670</v>
      </c>
      <c r="E78" s="1" t="n">
        <v>46309</v>
      </c>
      <c r="F78" t="inlineStr">
        <is>
          <t>JÖNKÖPINGS LÄN</t>
        </is>
      </c>
      <c r="G78" t="inlineStr">
        <is>
          <t>MULLSJÖ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45553</v>
      </c>
      <c r="E79" s="1" t="n">
        <v>46309</v>
      </c>
      <c r="F79" t="inlineStr">
        <is>
          <t>JÖNKÖPINGS LÄN</t>
        </is>
      </c>
      <c r="G79" t="inlineStr">
        <is>
          <t>MULLSJÖ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45953</v>
      </c>
      <c r="E80" s="1" t="n">
        <v>46309</v>
      </c>
      <c r="F80" t="inlineStr">
        <is>
          <t>JÖNKÖPINGS LÄN</t>
        </is>
      </c>
      <c r="G80" t="inlineStr">
        <is>
          <t>MULLSJÖ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46309</v>
      </c>
      <c r="F81" t="inlineStr">
        <is>
          <t>JÖNKÖPINGS LÄN</t>
        </is>
      </c>
      <c r="G81" t="inlineStr">
        <is>
          <t>MULLSJÖ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46309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46309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45877</v>
      </c>
      <c r="E84" s="1" t="n">
        <v>46309</v>
      </c>
      <c r="F84" t="inlineStr">
        <is>
          <t>JÖNKÖPINGS LÄN</t>
        </is>
      </c>
      <c r="G84" t="inlineStr">
        <is>
          <t>MULLSJÖ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46309</v>
      </c>
      <c r="F85" t="inlineStr">
        <is>
          <t>JÖNKÖPINGS LÄN</t>
        </is>
      </c>
      <c r="G85" t="inlineStr">
        <is>
          <t>MULLSJÖ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46309</v>
      </c>
      <c r="F86" t="inlineStr">
        <is>
          <t>JÖNKÖPINGS LÄN</t>
        </is>
      </c>
      <c r="G86" t="inlineStr">
        <is>
          <t>MULLSJÖ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46309</v>
      </c>
      <c r="F87" t="inlineStr">
        <is>
          <t>JÖNKÖPINGS LÄN</t>
        </is>
      </c>
      <c r="G87" t="inlineStr">
        <is>
          <t>MULLSJÖ</t>
        </is>
      </c>
      <c r="I87" t="n">
        <v>15.1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46309</v>
      </c>
      <c r="F88" t="inlineStr">
        <is>
          <t>JÖNKÖPINGS LÄN</t>
        </is>
      </c>
      <c r="G88" t="inlineStr">
        <is>
          <t>MULLSJÖ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12273-2023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44998</v>
      </c>
      <c r="E89" s="1" t="n">
        <v>46309</v>
      </c>
      <c r="F89" t="inlineStr">
        <is>
          <t>JÖNKÖPINGS LÄN</t>
        </is>
      </c>
      <c r="G89" t="inlineStr">
        <is>
          <t>MULLSJÖ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59503-2024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46309</v>
      </c>
      <c r="F90" t="inlineStr">
        <is>
          <t>JÖNKÖPINGS LÄN</t>
        </is>
      </c>
      <c r="G90" t="inlineStr">
        <is>
          <t>MULLSJÖ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46309</v>
      </c>
      <c r="F91" t="inlineStr">
        <is>
          <t>JÖNKÖPINGS LÄN</t>
        </is>
      </c>
      <c r="G91" t="inlineStr">
        <is>
          <t>MULLSJÖ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62586-2025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46007</v>
      </c>
      <c r="E92" s="1" t="n">
        <v>46309</v>
      </c>
      <c r="F92" t="inlineStr">
        <is>
          <t>JÖNKÖPINGS LÄN</t>
        </is>
      </c>
      <c r="G92" t="inlineStr">
        <is>
          <t>MULLSJÖ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46309</v>
      </c>
      <c r="F93" t="inlineStr">
        <is>
          <t>JÖNKÖPINGS LÄN</t>
        </is>
      </c>
      <c r="G93" t="inlineStr">
        <is>
          <t>MULLSJÖ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45748</v>
      </c>
      <c r="E94" s="1" t="n">
        <v>46309</v>
      </c>
      <c r="F94" t="inlineStr">
        <is>
          <t>JÖNKÖPINGS LÄN</t>
        </is>
      </c>
      <c r="G94" t="inlineStr">
        <is>
          <t>MULLSJÖ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46309</v>
      </c>
      <c r="F95" t="inlineStr">
        <is>
          <t>JÖNKÖPINGS LÄN</t>
        </is>
      </c>
      <c r="G95" t="inlineStr">
        <is>
          <t>MULLSJÖ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46309</v>
      </c>
      <c r="F96" t="inlineStr">
        <is>
          <t>JÖNKÖPINGS LÄN</t>
        </is>
      </c>
      <c r="G96" t="inlineStr">
        <is>
          <t>MULLSJÖ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12351-2026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46088</v>
      </c>
      <c r="E97" s="1" t="n">
        <v>46309</v>
      </c>
      <c r="F97" t="inlineStr">
        <is>
          <t>JÖNKÖPINGS LÄN</t>
        </is>
      </c>
      <c r="G97" t="inlineStr">
        <is>
          <t>MULLSJÖ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45752</v>
      </c>
      <c r="E98" s="1" t="n">
        <v>46309</v>
      </c>
      <c r="F98" t="inlineStr">
        <is>
          <t>JÖNKÖPINGS LÄN</t>
        </is>
      </c>
      <c r="G98" t="inlineStr">
        <is>
          <t>MULLSJÖ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45169</v>
      </c>
      <c r="E99" s="1" t="n">
        <v>46309</v>
      </c>
      <c r="F99" t="inlineStr">
        <is>
          <t>JÖNKÖPINGS LÄN</t>
        </is>
      </c>
      <c r="G99" t="inlineStr">
        <is>
          <t>MULLSJÖ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46309</v>
      </c>
      <c r="F100" t="inlineStr">
        <is>
          <t>JÖNKÖPINGS LÄN</t>
        </is>
      </c>
      <c r="G100" t="inlineStr">
        <is>
          <t>MULLSJÖ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45016</v>
      </c>
      <c r="E101" s="1" t="n">
        <v>46309</v>
      </c>
      <c r="F101" t="inlineStr">
        <is>
          <t>JÖNKÖPINGS LÄN</t>
        </is>
      </c>
      <c r="G101" t="inlineStr">
        <is>
          <t>MULLSJÖ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18421-2026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46126</v>
      </c>
      <c r="E102" s="1" t="n">
        <v>46309</v>
      </c>
      <c r="F102" t="inlineStr">
        <is>
          <t>JÖNKÖPINGS LÄN</t>
        </is>
      </c>
      <c r="G102" t="inlineStr">
        <is>
          <t>MULLSJÖ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46309</v>
      </c>
      <c r="F103" t="inlineStr">
        <is>
          <t>JÖNKÖPINGS LÄN</t>
        </is>
      </c>
      <c r="G103" t="inlineStr">
        <is>
          <t>MULLSJÖ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46309</v>
      </c>
      <c r="F104" t="inlineStr">
        <is>
          <t>JÖNKÖPINGS LÄN</t>
        </is>
      </c>
      <c r="G104" t="inlineStr">
        <is>
          <t>MULLSJÖ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46309</v>
      </c>
      <c r="F105" t="inlineStr">
        <is>
          <t>JÖNKÖPINGS LÄN</t>
        </is>
      </c>
      <c r="G105" t="inlineStr">
        <is>
          <t>MULLSJÖ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45752</v>
      </c>
      <c r="E106" s="1" t="n">
        <v>46309</v>
      </c>
      <c r="F106" t="inlineStr">
        <is>
          <t>JÖNKÖPINGS LÄN</t>
        </is>
      </c>
      <c r="G106" t="inlineStr">
        <is>
          <t>MULLSJÖ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45495</v>
      </c>
      <c r="E107" s="1" t="n">
        <v>46309</v>
      </c>
      <c r="F107" t="inlineStr">
        <is>
          <t>JÖNKÖPINGS LÄN</t>
        </is>
      </c>
      <c r="G107" t="inlineStr">
        <is>
          <t>MULLSJÖ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46309</v>
      </c>
      <c r="F108" t="inlineStr">
        <is>
          <t>JÖNKÖPINGS LÄN</t>
        </is>
      </c>
      <c r="G108" t="inlineStr">
        <is>
          <t>MULLSJÖ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46309</v>
      </c>
      <c r="F109" t="inlineStr">
        <is>
          <t>JÖNKÖPINGS LÄN</t>
        </is>
      </c>
      <c r="G109" t="inlineStr">
        <is>
          <t>MULLSJÖ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46309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46309</v>
      </c>
      <c r="F111" t="inlineStr">
        <is>
          <t>JÖNKÖPINGS LÄN</t>
        </is>
      </c>
      <c r="G111" t="inlineStr">
        <is>
          <t>MULLSJÖ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44992</v>
      </c>
      <c r="E112" s="1" t="n">
        <v>46309</v>
      </c>
      <c r="F112" t="inlineStr">
        <is>
          <t>JÖNKÖPINGS LÄN</t>
        </is>
      </c>
      <c r="G112" t="inlineStr">
        <is>
          <t>MULLSJÖ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46309</v>
      </c>
      <c r="F113" t="inlineStr">
        <is>
          <t>JÖNKÖPINGS LÄN</t>
        </is>
      </c>
      <c r="G113" t="inlineStr">
        <is>
          <t>MULLSJÖ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46309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46309</v>
      </c>
      <c r="F115" t="inlineStr">
        <is>
          <t>JÖNKÖPINGS LÄN</t>
        </is>
      </c>
      <c r="G115" t="inlineStr">
        <is>
          <t>MULLSJÖ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45048</v>
      </c>
      <c r="E116" s="1" t="n">
        <v>46309</v>
      </c>
      <c r="F116" t="inlineStr">
        <is>
          <t>JÖNKÖPINGS LÄN</t>
        </is>
      </c>
      <c r="G116" t="inlineStr">
        <is>
          <t>MULLSJÖ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46309</v>
      </c>
      <c r="F117" t="inlineStr">
        <is>
          <t>JÖNKÖPINGS LÄN</t>
        </is>
      </c>
      <c r="G117" t="inlineStr">
        <is>
          <t>MULLSJÖ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45083</v>
      </c>
      <c r="E118" s="1" t="n">
        <v>46309</v>
      </c>
      <c r="F118" t="inlineStr">
        <is>
          <t>JÖNKÖPINGS LÄN</t>
        </is>
      </c>
      <c r="G118" t="inlineStr">
        <is>
          <t>MULLSJÖ</t>
        </is>
      </c>
      <c r="I118" t="n">
        <v>13.1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45543</v>
      </c>
      <c r="E119" s="1" t="n">
        <v>46309</v>
      </c>
      <c r="F119" t="inlineStr">
        <is>
          <t>JÖNKÖPINGS LÄN</t>
        </is>
      </c>
      <c r="G119" t="inlineStr">
        <is>
          <t>MULLSJÖ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46309</v>
      </c>
      <c r="F120" t="inlineStr">
        <is>
          <t>JÖNKÖPINGS LÄN</t>
        </is>
      </c>
      <c r="G120" t="inlineStr">
        <is>
          <t>MULLSJÖ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45752</v>
      </c>
      <c r="E121" s="1" t="n">
        <v>46309</v>
      </c>
      <c r="F121" t="inlineStr">
        <is>
          <t>JÖNKÖPINGS LÄN</t>
        </is>
      </c>
      <c r="G121" t="inlineStr">
        <is>
          <t>MULLSJÖ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46309</v>
      </c>
      <c r="F122" t="inlineStr">
        <is>
          <t>JÖNKÖPINGS LÄN</t>
        </is>
      </c>
      <c r="G122" t="inlineStr">
        <is>
          <t>MULLSJÖ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45201</v>
      </c>
      <c r="E123" s="1" t="n">
        <v>46309</v>
      </c>
      <c r="F123" t="inlineStr">
        <is>
          <t>JÖNKÖPINGS LÄN</t>
        </is>
      </c>
      <c r="G123" t="inlineStr">
        <is>
          <t>MULLSJÖ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45170</v>
      </c>
      <c r="E124" s="1" t="n">
        <v>46309</v>
      </c>
      <c r="F124" t="inlineStr">
        <is>
          <t>JÖNKÖPINGS LÄN</t>
        </is>
      </c>
      <c r="G124" t="inlineStr">
        <is>
          <t>MULLSJÖ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46309</v>
      </c>
      <c r="F125" t="inlineStr">
        <is>
          <t>JÖNKÖPINGS LÄN</t>
        </is>
      </c>
      <c r="G125" t="inlineStr">
        <is>
          <t>MULLSJÖ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45682</v>
      </c>
      <c r="E126" s="1" t="n">
        <v>46309</v>
      </c>
      <c r="F126" t="inlineStr">
        <is>
          <t>JÖNKÖPINGS LÄN</t>
        </is>
      </c>
      <c r="G126" t="inlineStr">
        <is>
          <t>MULLSJÖ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46309</v>
      </c>
      <c r="F127" t="inlineStr">
        <is>
          <t>JÖNKÖPINGS LÄN</t>
        </is>
      </c>
      <c r="G127" t="inlineStr">
        <is>
          <t>MULLSJÖ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45686</v>
      </c>
      <c r="E128" s="1" t="n">
        <v>46309</v>
      </c>
      <c r="F128" t="inlineStr">
        <is>
          <t>JÖNKÖPINGS LÄN</t>
        </is>
      </c>
      <c r="G128" t="inlineStr">
        <is>
          <t>MULLSJÖ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46309</v>
      </c>
      <c r="F129" t="inlineStr">
        <is>
          <t>JÖNKÖPINGS LÄN</t>
        </is>
      </c>
      <c r="G129" t="inlineStr">
        <is>
          <t>MULLSJÖ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14745-2022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44656</v>
      </c>
      <c r="E130" s="1" t="n">
        <v>46309</v>
      </c>
      <c r="F130" t="inlineStr">
        <is>
          <t>JÖNKÖPINGS LÄN</t>
        </is>
      </c>
      <c r="G130" t="inlineStr">
        <is>
          <t>MULLSJÖ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45214</v>
      </c>
      <c r="E131" s="1" t="n">
        <v>46309</v>
      </c>
      <c r="F131" t="inlineStr">
        <is>
          <t>JÖNKÖPINGS LÄN</t>
        </is>
      </c>
      <c r="G131" t="inlineStr">
        <is>
          <t>MULLSJÖ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46309</v>
      </c>
      <c r="F132" t="inlineStr">
        <is>
          <t>JÖNKÖPINGS LÄN</t>
        </is>
      </c>
      <c r="G132" t="inlineStr">
        <is>
          <t>MULLSJÖ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46309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46309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46309</v>
      </c>
      <c r="F135" t="inlineStr">
        <is>
          <t>JÖNKÖPINGS LÄN</t>
        </is>
      </c>
      <c r="G135" t="inlineStr">
        <is>
          <t>MULLSJÖ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46309</v>
      </c>
      <c r="F136" t="inlineStr">
        <is>
          <t>JÖNKÖPINGS LÄN</t>
        </is>
      </c>
      <c r="G136" t="inlineStr">
        <is>
          <t>MULLSJÖ</t>
        </is>
      </c>
      <c r="H136" t="inlineStr">
        <is>
          <t>Kyrkan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46309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28508-2026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46309</v>
      </c>
      <c r="F138" t="inlineStr">
        <is>
          <t>JÖNKÖPINGS LÄN</t>
        </is>
      </c>
      <c r="G138" t="inlineStr">
        <is>
          <t>MULLSJÖ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46309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44966</v>
      </c>
      <c r="E140" s="1" t="n">
        <v>46309</v>
      </c>
      <c r="F140" t="inlineStr">
        <is>
          <t>JÖNKÖPINGS LÄN</t>
        </is>
      </c>
      <c r="G140" t="inlineStr">
        <is>
          <t>MULLSJÖ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28791-2024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45478</v>
      </c>
      <c r="E141" s="1" t="n">
        <v>46309</v>
      </c>
      <c r="F141" t="inlineStr">
        <is>
          <t>JÖNKÖPINGS LÄN</t>
        </is>
      </c>
      <c r="G141" t="inlineStr">
        <is>
          <t>MULLSJÖ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46309</v>
      </c>
      <c r="F142" t="inlineStr">
        <is>
          <t>JÖNKÖPINGS LÄN</t>
        </is>
      </c>
      <c r="G142" t="inlineStr">
        <is>
          <t>MULLSJÖ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46309</v>
      </c>
      <c r="F143" t="inlineStr">
        <is>
          <t>JÖNKÖPINGS LÄN</t>
        </is>
      </c>
      <c r="G143" t="inlineStr">
        <is>
          <t>MULLSJÖ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44993</v>
      </c>
      <c r="E144" s="1" t="n">
        <v>46309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46309</v>
      </c>
      <c r="F145" t="inlineStr">
        <is>
          <t>JÖNKÖPINGS LÄN</t>
        </is>
      </c>
      <c r="G145" t="inlineStr">
        <is>
          <t>MULLSJÖ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45450</v>
      </c>
      <c r="E146" s="1" t="n">
        <v>46309</v>
      </c>
      <c r="F146" t="inlineStr">
        <is>
          <t>JÖNKÖPINGS LÄN</t>
        </is>
      </c>
      <c r="G146" t="inlineStr">
        <is>
          <t>MULLSJÖ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44970</v>
      </c>
      <c r="E147" s="1" t="n">
        <v>46309</v>
      </c>
      <c r="F147" t="inlineStr">
        <is>
          <t>JÖNKÖPINGS LÄN</t>
        </is>
      </c>
      <c r="G147" t="inlineStr">
        <is>
          <t>MULLSJÖ</t>
        </is>
      </c>
      <c r="H147" t="inlineStr">
        <is>
          <t>Kommuner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  <c r="Z147">
        <f>HYPERLINK("https://klasma.github.io/Logging_0642/knärot/A 7181-2023 karta knärot.png", "A 7181-2023")</f>
        <v/>
      </c>
      <c r="AA147">
        <f>HYPERLINK("https://klasma.github.io/Logging_0642/klagomål/A 7181-2023 FSC-klagomål.docx", "A 7181-2023")</f>
        <v/>
      </c>
      <c r="AB147">
        <f>HYPERLINK("https://klasma.github.io/Logging_0642/klagomålsmail/A 7181-2023 FSC-klagomål mail.docx", "A 7181-2023")</f>
        <v/>
      </c>
      <c r="AC147">
        <f>HYPERLINK("https://klasma.github.io/Logging_0642/tillsyn/A 7181-2023 tillsynsbegäran.docx", "A 7181-2023")</f>
        <v/>
      </c>
      <c r="AD147">
        <f>HYPERLINK("https://klasma.github.io/Logging_0642/tillsynsmail/A 7181-2023 tillsynsbegäran mail.docx", "A 7181-2023")</f>
        <v/>
      </c>
    </row>
    <row r="148" ht="15" customHeight="1">
      <c r="A148" t="inlineStr">
        <is>
          <t>A 31157-2026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46216</v>
      </c>
      <c r="E148" s="1" t="n">
        <v>46309</v>
      </c>
      <c r="F148" t="inlineStr">
        <is>
          <t>JÖNKÖPINGS LÄN</t>
        </is>
      </c>
      <c r="G148" t="inlineStr">
        <is>
          <t>MULLSJÖ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28605-2023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46309</v>
      </c>
      <c r="F149" t="inlineStr">
        <is>
          <t>JÖNKÖPINGS LÄN</t>
        </is>
      </c>
      <c r="G149" t="inlineStr">
        <is>
          <t>MULLSJÖ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46216</v>
      </c>
      <c r="E150" s="1" t="n">
        <v>46309</v>
      </c>
      <c r="F150" t="inlineStr">
        <is>
          <t>JÖNKÖPINGS LÄN</t>
        </is>
      </c>
      <c r="G150" t="inlineStr">
        <is>
          <t>MULLSJÖ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71048-2021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46309</v>
      </c>
      <c r="F151" t="inlineStr">
        <is>
          <t>JÖNKÖPINGS LÄN</t>
        </is>
      </c>
      <c r="G151" t="inlineStr">
        <is>
          <t>MULLSJÖ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46268</v>
      </c>
      <c r="E152" s="1" t="n">
        <v>46309</v>
      </c>
      <c r="F152" t="inlineStr">
        <is>
          <t>JÖNKÖPINGS LÄN</t>
        </is>
      </c>
      <c r="G152" t="inlineStr">
        <is>
          <t>MULLSJÖ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45244</v>
      </c>
      <c r="E153" s="1" t="n">
        <v>46309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36413-2026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46268</v>
      </c>
      <c r="E154" s="1" t="n">
        <v>46309</v>
      </c>
      <c r="F154" t="inlineStr">
        <is>
          <t>JÖNKÖPINGS LÄN</t>
        </is>
      </c>
      <c r="G154" t="inlineStr">
        <is>
          <t>MULLSJÖ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46309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46268</v>
      </c>
      <c r="E156" s="1" t="n">
        <v>46309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46232</v>
      </c>
      <c r="E157" s="1" t="n">
        <v>46309</v>
      </c>
      <c r="F157" t="inlineStr">
        <is>
          <t>JÖNKÖPINGS LÄN</t>
        </is>
      </c>
      <c r="G157" t="inlineStr">
        <is>
          <t>MULLSJÖ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44954</v>
      </c>
      <c r="E158" s="1" t="n">
        <v>46309</v>
      </c>
      <c r="F158" t="inlineStr">
        <is>
          <t>JÖNKÖPINGS LÄN</t>
        </is>
      </c>
      <c r="G158" t="inlineStr">
        <is>
          <t>MULLSJÖ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46309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46309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46309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45446</v>
      </c>
      <c r="E162" s="1" t="n">
        <v>46309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46240</v>
      </c>
      <c r="E163" s="1" t="n">
        <v>46309</v>
      </c>
      <c r="F163" t="inlineStr">
        <is>
          <t>JÖNKÖPINGS LÄN</t>
        </is>
      </c>
      <c r="G163" t="inlineStr">
        <is>
          <t>MULLSJÖ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46309</v>
      </c>
      <c r="F164" t="inlineStr">
        <is>
          <t>JÖNKÖPINGS LÄN</t>
        </is>
      </c>
      <c r="G164" t="inlineStr">
        <is>
          <t>MULLSJÖ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45676</v>
      </c>
      <c r="E165" s="1" t="n">
        <v>46309</v>
      </c>
      <c r="F165" t="inlineStr">
        <is>
          <t>JÖNKÖPINGS LÄN</t>
        </is>
      </c>
      <c r="G165" t="inlineStr">
        <is>
          <t>MULLSJÖ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46309</v>
      </c>
      <c r="F166" t="inlineStr">
        <is>
          <t>JÖNKÖPINGS LÄN</t>
        </is>
      </c>
      <c r="G166" t="inlineStr">
        <is>
          <t>MULLSJÖ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46309</v>
      </c>
      <c r="F167" t="inlineStr">
        <is>
          <t>JÖNKÖPINGS LÄN</t>
        </is>
      </c>
      <c r="G167" t="inlineStr">
        <is>
          <t>MULLSJÖ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46309</v>
      </c>
      <c r="F168" t="inlineStr">
        <is>
          <t>JÖNKÖPINGS LÄN</t>
        </is>
      </c>
      <c r="G168" t="inlineStr">
        <is>
          <t>MULLSJÖ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46309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46309</v>
      </c>
      <c r="F170" t="inlineStr">
        <is>
          <t>JÖNKÖPINGS LÄN</t>
        </is>
      </c>
      <c r="G170" t="inlineStr">
        <is>
          <t>MULLSJÖ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46293</v>
      </c>
      <c r="E171" s="1" t="n">
        <v>46309</v>
      </c>
      <c r="F171" t="inlineStr">
        <is>
          <t>JÖNKÖPINGS LÄN</t>
        </is>
      </c>
      <c r="G171" t="inlineStr">
        <is>
          <t>MULLSJÖ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46295</v>
      </c>
      <c r="E172" s="1" t="n">
        <v>46309</v>
      </c>
      <c r="F172" t="inlineStr">
        <is>
          <t>JÖNKÖPINGS LÄN</t>
        </is>
      </c>
      <c r="G172" t="inlineStr">
        <is>
          <t>MULLSJÖ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64387-2023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46309</v>
      </c>
      <c r="F173" t="inlineStr">
        <is>
          <t>JÖNKÖPINGS LÄN</t>
        </is>
      </c>
      <c r="G173" t="inlineStr">
        <is>
          <t>MULLSJÖ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45324</v>
      </c>
      <c r="E174" s="1" t="n">
        <v>46309</v>
      </c>
      <c r="F174" t="inlineStr">
        <is>
          <t>JÖNKÖPINGS LÄN</t>
        </is>
      </c>
      <c r="G174" t="inlineStr">
        <is>
          <t>MULLSJÖ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46309</v>
      </c>
      <c r="F175" t="inlineStr">
        <is>
          <t>JÖNKÖPINGS LÄN</t>
        </is>
      </c>
      <c r="G175" t="inlineStr">
        <is>
          <t>MULLSJÖ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46309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46260</v>
      </c>
      <c r="E177" s="1" t="n">
        <v>46309</v>
      </c>
      <c r="F177" t="inlineStr">
        <is>
          <t>JÖNKÖPINGS LÄN</t>
        </is>
      </c>
      <c r="G177" t="inlineStr">
        <is>
          <t>MULLSJÖ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46309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46309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46309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2026-10-14T02:02:37Z</dcterms:created>
  <dcterms:modified xmlns:dcterms="http://purl.org/dc/terms/" xmlns:xsi="http://www.w3.org/2001/XMLSchema-instance" xsi:type="dcterms:W3CDTF">2026-10-14T02:02:37Z</dcterms:modified>
</cp:coreProperties>
</file>