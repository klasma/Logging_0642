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46228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46228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46228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46228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46228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46228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46228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56310-2025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45974</v>
      </c>
      <c r="E17" s="1" t="n">
        <v>46228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HYPERLINK("https://klasma.github.io/Logging_0642/artfynd/A 56310-2025 artfynd.xlsx", "A 56310-2025")</f>
        <v/>
      </c>
      <c r="X17">
        <f>HYPERLINK("https://klasma.github.io/Logging_0642/kartor/A 56310-2025 karta.png", "A 56310-2025")</f>
        <v/>
      </c>
      <c r="Y17">
        <f>HYPERLINK("https://klasma.github.io/Logging_0642/kartor_geotiff/A 56310-2025 georefererad karta.tif", "A 56310-2025")</f>
        <v/>
      </c>
      <c r="AA17">
        <f>HYPERLINK("https://klasma.github.io/Logging_0642/klagomål/A 56310-2025 FSC-klagomål.docx", "A 56310-2025")</f>
        <v/>
      </c>
      <c r="AB17">
        <f>HYPERLINK("https://klasma.github.io/Logging_0642/klagomålsmail/A 56310-2025 FSC-klagomål mail.docx", "A 56310-2025")</f>
        <v/>
      </c>
      <c r="AC17">
        <f>HYPERLINK("https://klasma.github.io/Logging_0642/tillsyn/A 56310-2025 tillsynsbegäran.docx", "A 56310-2025")</f>
        <v/>
      </c>
      <c r="AD17">
        <f>HYPERLINK("https://klasma.github.io/Logging_0642/tillsynsmail/A 56310-2025 tillsynsbegäran mail.docx", "A 56310-2025")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46228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46228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46006-2022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46228</v>
      </c>
      <c r="F20" t="inlineStr">
        <is>
          <t>JÖNKÖPINGS LÄN</t>
        </is>
      </c>
      <c r="G20" t="inlineStr">
        <is>
          <t>MULLSJÖ</t>
        </is>
      </c>
      <c r="I20" t="n">
        <v>3.4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46006-2022 artfynd.xlsx", "A 46006-2022")</f>
        <v/>
      </c>
      <c r="X20">
        <f>HYPERLINK("https://klasma.github.io/Logging_0642/kartor/A 46006-2022 karta.png", "A 46006-2022")</f>
        <v/>
      </c>
      <c r="Y20">
        <f>HYPERLINK("https://klasma.github.io/Logging_0642/kartor_geotiff/A 46006-2022 georefererad karta.tif", "A 46006-2022")</f>
        <v/>
      </c>
      <c r="AA20">
        <f>HYPERLINK("https://klasma.github.io/Logging_0642/klagomål/A 46006-2022 FSC-klagomål.docx", "A 46006-2022")</f>
        <v/>
      </c>
      <c r="AB20">
        <f>HYPERLINK("https://klasma.github.io/Logging_0642/klagomålsmail/A 46006-2022 FSC-klagomål mail.docx", "A 46006-2022")</f>
        <v/>
      </c>
      <c r="AC20">
        <f>HYPERLINK("https://klasma.github.io/Logging_0642/tillsyn/A 46006-2022 tillsynsbegäran.docx", "A 46006-2022")</f>
        <v/>
      </c>
      <c r="AD20">
        <f>HYPERLINK("https://klasma.github.io/Logging_0642/tillsynsmail/A 46006-2022 tillsynsbegäran mail.docx", "A 46006-2022")</f>
        <v/>
      </c>
    </row>
    <row r="21" ht="15" customHeight="1">
      <c r="A21" t="inlineStr">
        <is>
          <t>A 7821-2024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45349</v>
      </c>
      <c r="E21" s="1" t="n">
        <v>46228</v>
      </c>
      <c r="F21" t="inlineStr">
        <is>
          <t>JÖNKÖPINGS LÄN</t>
        </is>
      </c>
      <c r="G21" t="inlineStr">
        <is>
          <t>MULLSJÖ</t>
        </is>
      </c>
      <c r="I21" t="n">
        <v>8.199999999999999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7821-2024 artfynd.xlsx", "A 7821-2024")</f>
        <v/>
      </c>
      <c r="X21">
        <f>HYPERLINK("https://klasma.github.io/Logging_0642/kartor/A 7821-2024 karta.png", "A 7821-2024")</f>
        <v/>
      </c>
      <c r="Y21">
        <f>HYPERLINK("https://klasma.github.io/Logging_0642/kartor_geotiff/A 7821-2024 georefererad karta.tif", "A 7821-2024")</f>
        <v/>
      </c>
      <c r="AA21">
        <f>HYPERLINK("https://klasma.github.io/Logging_0642/klagomål/A 7821-2024 FSC-klagomål.docx", "A 7821-2024")</f>
        <v/>
      </c>
      <c r="AB21">
        <f>HYPERLINK("https://klasma.github.io/Logging_0642/klagomålsmail/A 7821-2024 FSC-klagomål mail.docx", "A 7821-2024")</f>
        <v/>
      </c>
      <c r="AC21">
        <f>HYPERLINK("https://klasma.github.io/Logging_0642/tillsyn/A 7821-2024 tillsynsbegäran.docx", "A 7821-2024")</f>
        <v/>
      </c>
      <c r="AD21">
        <f>HYPERLINK("https://klasma.github.io/Logging_0642/tillsynsmail/A 7821-2024 tillsynsbegäran mail.docx", "A 7821-2024")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46228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46228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46228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46228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17825-2026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46122</v>
      </c>
      <c r="E26" s="1" t="n">
        <v>46228</v>
      </c>
      <c r="F26" t="inlineStr">
        <is>
          <t>JÖNKÖPINGS LÄN</t>
        </is>
      </c>
      <c r="G26" t="inlineStr">
        <is>
          <t>MULLSJÖ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0</v>
      </c>
      <c r="V26" s="2" t="inlineStr">
        <is>
          <t>Fläcknycklar</t>
        </is>
      </c>
      <c r="W26">
        <f>HYPERLINK("https://klasma.github.io/Logging_0642/artfynd/A 17825-2026 artfynd.xlsx", "A 17825-2026")</f>
        <v/>
      </c>
      <c r="X26">
        <f>HYPERLINK("https://klasma.github.io/Logging_0642/kartor/A 17825-2026 karta.png", "A 17825-2026")</f>
        <v/>
      </c>
      <c r="Y26">
        <f>HYPERLINK("https://klasma.github.io/Logging_0642/kartor_geotiff/A 17825-2026 georefererad karta.tif", "A 17825-2026")</f>
        <v/>
      </c>
      <c r="AA26">
        <f>HYPERLINK("https://klasma.github.io/Logging_0642/klagomål/A 17825-2026 FSC-klagomål.docx", "A 17825-2026")</f>
        <v/>
      </c>
      <c r="AB26">
        <f>HYPERLINK("https://klasma.github.io/Logging_0642/klagomålsmail/A 17825-2026 FSC-klagomål mail.docx", "A 17825-2026")</f>
        <v/>
      </c>
      <c r="AC26">
        <f>HYPERLINK("https://klasma.github.io/Logging_0642/tillsyn/A 17825-2026 tillsynsbegäran.docx", "A 17825-2026")</f>
        <v/>
      </c>
      <c r="AD26">
        <f>HYPERLINK("https://klasma.github.io/Logging_0642/tillsynsmail/A 17825-2026 tillsynsbegäran mail.docx", "A 17825-2026")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46228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46228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46228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46228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46228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46228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46228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46228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46228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46228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46228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46228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46228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46228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46228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46228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46228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46228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46228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46228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46228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46228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46228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46228</v>
      </c>
      <c r="F50" t="inlineStr">
        <is>
          <t>JÖNKÖPINGS LÄN</t>
        </is>
      </c>
      <c r="G50" t="inlineStr">
        <is>
          <t>MULLSJÖ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46228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71048-2021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46228</v>
      </c>
      <c r="F52" t="inlineStr">
        <is>
          <t>JÖNKÖPINGS LÄN</t>
        </is>
      </c>
      <c r="G52" t="inlineStr">
        <is>
          <t>MULLSJÖ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45478</v>
      </c>
      <c r="E53" s="1" t="n">
        <v>46228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46228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46228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46228</v>
      </c>
      <c r="F56" t="inlineStr">
        <is>
          <t>JÖNKÖPINGS LÄN</t>
        </is>
      </c>
      <c r="G56" t="inlineStr">
        <is>
          <t>MULLSJÖ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45521</v>
      </c>
      <c r="E57" s="1" t="n">
        <v>46228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46228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59503-2024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45638</v>
      </c>
      <c r="E59" s="1" t="n">
        <v>46228</v>
      </c>
      <c r="F59" t="inlineStr">
        <is>
          <t>JÖNKÖPINGS LÄN</t>
        </is>
      </c>
      <c r="G59" t="inlineStr">
        <is>
          <t>MULLSJÖ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44966</v>
      </c>
      <c r="E60" s="1" t="n">
        <v>46228</v>
      </c>
      <c r="F60" t="inlineStr">
        <is>
          <t>JÖNKÖPINGS LÄN</t>
        </is>
      </c>
      <c r="G60" t="inlineStr">
        <is>
          <t>MULLSJÖ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45169</v>
      </c>
      <c r="E61" s="1" t="n">
        <v>46228</v>
      </c>
      <c r="F61" t="inlineStr">
        <is>
          <t>JÖNKÖPINGS LÄN</t>
        </is>
      </c>
      <c r="G61" t="inlineStr">
        <is>
          <t>MULLSJÖ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46228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46228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45495</v>
      </c>
      <c r="E64" s="1" t="n">
        <v>46228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46228</v>
      </c>
      <c r="F65" t="inlineStr">
        <is>
          <t>JÖNKÖPINGS LÄN</t>
        </is>
      </c>
      <c r="G65" t="inlineStr">
        <is>
          <t>MULLSJÖ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46228</v>
      </c>
      <c r="F66" t="inlineStr">
        <is>
          <t>JÖNKÖPINGS LÄN</t>
        </is>
      </c>
      <c r="G66" t="inlineStr">
        <is>
          <t>MULLSJÖ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45048</v>
      </c>
      <c r="E67" s="1" t="n">
        <v>46228</v>
      </c>
      <c r="F67" t="inlineStr">
        <is>
          <t>JÖNKÖPINGS LÄN</t>
        </is>
      </c>
      <c r="G67" t="inlineStr">
        <is>
          <t>MULLSJÖ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46228</v>
      </c>
      <c r="F68" t="inlineStr">
        <is>
          <t>JÖNKÖPINGS LÄN</t>
        </is>
      </c>
      <c r="G68" t="inlineStr">
        <is>
          <t>MULLSJÖ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46228</v>
      </c>
      <c r="F69" t="inlineStr">
        <is>
          <t>JÖNKÖPINGS LÄN</t>
        </is>
      </c>
      <c r="G69" t="inlineStr">
        <is>
          <t>MULLSJÖ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46228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46228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46228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46228</v>
      </c>
      <c r="F73" t="inlineStr">
        <is>
          <t>JÖNKÖPINGS LÄN</t>
        </is>
      </c>
      <c r="G73" t="inlineStr">
        <is>
          <t>MULLSJÖ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46228</v>
      </c>
      <c r="F74" t="inlineStr">
        <is>
          <t>JÖNKÖPINGS LÄN</t>
        </is>
      </c>
      <c r="G74" t="inlineStr">
        <is>
          <t>MULLSJÖ</t>
        </is>
      </c>
      <c r="I74" t="n">
        <v>15.1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45553</v>
      </c>
      <c r="E75" s="1" t="n">
        <v>46228</v>
      </c>
      <c r="F75" t="inlineStr">
        <is>
          <t>JÖNKÖPINGS LÄN</t>
        </is>
      </c>
      <c r="G75" t="inlineStr">
        <is>
          <t>MULLSJÖ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46228</v>
      </c>
      <c r="F76" t="inlineStr">
        <is>
          <t>JÖNKÖPINGS LÄN</t>
        </is>
      </c>
      <c r="G76" t="inlineStr">
        <is>
          <t>MULLSJÖ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46228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46228</v>
      </c>
      <c r="F78" t="inlineStr">
        <is>
          <t>JÖNKÖPINGS LÄN</t>
        </is>
      </c>
      <c r="G78" t="inlineStr">
        <is>
          <t>MULLSJÖ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46228</v>
      </c>
      <c r="F79" t="inlineStr">
        <is>
          <t>JÖNKÖPINGS LÄN</t>
        </is>
      </c>
      <c r="G79" t="inlineStr">
        <is>
          <t>MULLSJÖ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45676</v>
      </c>
      <c r="E80" s="1" t="n">
        <v>46228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46228</v>
      </c>
      <c r="F81" t="inlineStr">
        <is>
          <t>JÖNKÖPINGS LÄN</t>
        </is>
      </c>
      <c r="G81" t="inlineStr">
        <is>
          <t>MULLSJÖ</t>
        </is>
      </c>
      <c r="H81" t="inlineStr">
        <is>
          <t>Kyrkan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46228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45337</v>
      </c>
      <c r="E83" s="1" t="n">
        <v>46228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46228</v>
      </c>
      <c r="F84" t="inlineStr">
        <is>
          <t>JÖNKÖPINGS LÄN</t>
        </is>
      </c>
      <c r="G84" t="inlineStr">
        <is>
          <t>MULLSJÖ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46228</v>
      </c>
      <c r="F85" t="inlineStr">
        <is>
          <t>JÖNKÖPINGS LÄN</t>
        </is>
      </c>
      <c r="G85" t="inlineStr">
        <is>
          <t>MULLSJÖ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46228</v>
      </c>
      <c r="F86" t="inlineStr">
        <is>
          <t>JÖNKÖPINGS LÄN</t>
        </is>
      </c>
      <c r="G86" t="inlineStr">
        <is>
          <t>MULLSJÖ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46228</v>
      </c>
      <c r="F87" t="inlineStr">
        <is>
          <t>JÖNKÖPINGS LÄN</t>
        </is>
      </c>
      <c r="G87" t="inlineStr">
        <is>
          <t>MULLSJÖ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46228</v>
      </c>
      <c r="F88" t="inlineStr">
        <is>
          <t>JÖNKÖPINGS LÄN</t>
        </is>
      </c>
      <c r="G88" t="inlineStr">
        <is>
          <t>MULLSJÖ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46228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46228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45928</v>
      </c>
      <c r="E91" s="1" t="n">
        <v>46228</v>
      </c>
      <c r="F91" t="inlineStr">
        <is>
          <t>JÖNKÖPINGS LÄN</t>
        </is>
      </c>
      <c r="G91" t="inlineStr">
        <is>
          <t>MULLSJÖ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46228</v>
      </c>
      <c r="F92" t="inlineStr">
        <is>
          <t>JÖNKÖPINGS LÄN</t>
        </is>
      </c>
      <c r="G92" t="inlineStr">
        <is>
          <t>MULLSJÖ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46228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45214</v>
      </c>
      <c r="E94" s="1" t="n">
        <v>46228</v>
      </c>
      <c r="F94" t="inlineStr">
        <is>
          <t>JÖNKÖPINGS LÄN</t>
        </is>
      </c>
      <c r="G94" t="inlineStr">
        <is>
          <t>MULLSJÖ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46228</v>
      </c>
      <c r="F95" t="inlineStr">
        <is>
          <t>JÖNKÖPINGS LÄN</t>
        </is>
      </c>
      <c r="G95" t="inlineStr">
        <is>
          <t>MULLSJÖ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45083</v>
      </c>
      <c r="E96" s="1" t="n">
        <v>46228</v>
      </c>
      <c r="F96" t="inlineStr">
        <is>
          <t>JÖNKÖPINGS LÄN</t>
        </is>
      </c>
      <c r="G96" t="inlineStr">
        <is>
          <t>MULLSJÖ</t>
        </is>
      </c>
      <c r="I96" t="n">
        <v>13.1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46228</v>
      </c>
      <c r="F97" t="inlineStr">
        <is>
          <t>JÖNKÖPINGS LÄN</t>
        </is>
      </c>
      <c r="G97" t="inlineStr">
        <is>
          <t>MULLSJÖ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46228</v>
      </c>
      <c r="F98" t="inlineStr">
        <is>
          <t>JÖNKÖPINGS LÄN</t>
        </is>
      </c>
      <c r="G98" t="inlineStr">
        <is>
          <t>MULLSJÖ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35244-2023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45145</v>
      </c>
      <c r="E99" s="1" t="n">
        <v>46228</v>
      </c>
      <c r="F99" t="inlineStr">
        <is>
          <t>JÖNKÖPINGS LÄN</t>
        </is>
      </c>
      <c r="G99" t="inlineStr">
        <is>
          <t>MULLSJÖ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46228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46228</v>
      </c>
      <c r="F101" t="inlineStr">
        <is>
          <t>JÖNKÖPINGS LÄN</t>
        </is>
      </c>
      <c r="G101" t="inlineStr">
        <is>
          <t>MULLSJÖ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45953</v>
      </c>
      <c r="E102" s="1" t="n">
        <v>46228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46228</v>
      </c>
      <c r="F103" t="inlineStr">
        <is>
          <t>JÖNKÖPINGS LÄN</t>
        </is>
      </c>
      <c r="G103" t="inlineStr">
        <is>
          <t>MULLSJÖ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46228</v>
      </c>
      <c r="F104" t="inlineStr">
        <is>
          <t>JÖNKÖPINGS LÄN</t>
        </is>
      </c>
      <c r="G104" t="inlineStr">
        <is>
          <t>MULLSJÖ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45752</v>
      </c>
      <c r="E105" s="1" t="n">
        <v>46228</v>
      </c>
      <c r="F105" t="inlineStr">
        <is>
          <t>JÖNKÖPINGS LÄN</t>
        </is>
      </c>
      <c r="G105" t="inlineStr">
        <is>
          <t>MULLSJÖ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46228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46228</v>
      </c>
      <c r="F107" t="inlineStr">
        <is>
          <t>JÖNKÖPINGS LÄN</t>
        </is>
      </c>
      <c r="G107" t="inlineStr">
        <is>
          <t>MULLSJÖ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46228</v>
      </c>
      <c r="F108" t="inlineStr">
        <is>
          <t>JÖNKÖPINGS LÄN</t>
        </is>
      </c>
      <c r="G108" t="inlineStr">
        <is>
          <t>MULLSJÖ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45752</v>
      </c>
      <c r="E109" s="1" t="n">
        <v>46228</v>
      </c>
      <c r="F109" t="inlineStr">
        <is>
          <t>JÖNKÖPINGS LÄN</t>
        </is>
      </c>
      <c r="G109" t="inlineStr">
        <is>
          <t>MULLSJÖ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46228</v>
      </c>
      <c r="F110" t="inlineStr">
        <is>
          <t>JÖNKÖPINGS LÄN</t>
        </is>
      </c>
      <c r="G110" t="inlineStr">
        <is>
          <t>MULLSJÖ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44670</v>
      </c>
      <c r="E111" s="1" t="n">
        <v>46228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46228</v>
      </c>
      <c r="F112" t="inlineStr">
        <is>
          <t>JÖNKÖPINGS LÄN</t>
        </is>
      </c>
      <c r="G112" t="inlineStr">
        <is>
          <t>MULLSJÖ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45637</v>
      </c>
      <c r="E113" s="1" t="n">
        <v>46228</v>
      </c>
      <c r="F113" t="inlineStr">
        <is>
          <t>JÖNKÖPINGS LÄN</t>
        </is>
      </c>
      <c r="G113" t="inlineStr">
        <is>
          <t>MULLSJÖ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46228</v>
      </c>
      <c r="F114" t="inlineStr">
        <is>
          <t>JÖNKÖPINGS LÄN</t>
        </is>
      </c>
      <c r="G114" t="inlineStr">
        <is>
          <t>MULLSJÖ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46228</v>
      </c>
      <c r="F115" t="inlineStr">
        <is>
          <t>JÖNKÖPINGS LÄN</t>
        </is>
      </c>
      <c r="G115" t="inlineStr">
        <is>
          <t>MULLSJÖ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46228</v>
      </c>
      <c r="F116" t="inlineStr">
        <is>
          <t>JÖNKÖPINGS LÄN</t>
        </is>
      </c>
      <c r="G116" t="inlineStr">
        <is>
          <t>MULLSJÖ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46007</v>
      </c>
      <c r="E117" s="1" t="n">
        <v>46228</v>
      </c>
      <c r="F117" t="inlineStr">
        <is>
          <t>JÖNKÖPINGS LÄN</t>
        </is>
      </c>
      <c r="G117" t="inlineStr">
        <is>
          <t>MULLSJÖ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46228</v>
      </c>
      <c r="F118" t="inlineStr">
        <is>
          <t>JÖNKÖPINGS LÄN</t>
        </is>
      </c>
      <c r="G118" t="inlineStr">
        <is>
          <t>MULLSJÖ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46228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46228</v>
      </c>
      <c r="F120" t="inlineStr">
        <is>
          <t>JÖNKÖPINGS LÄN</t>
        </is>
      </c>
      <c r="G120" t="inlineStr">
        <is>
          <t>MULLSJÖ</t>
        </is>
      </c>
      <c r="H120" t="inlineStr">
        <is>
          <t>Kyrkan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46228</v>
      </c>
      <c r="F121" t="inlineStr">
        <is>
          <t>JÖNKÖPINGS LÄN</t>
        </is>
      </c>
      <c r="G121" t="inlineStr">
        <is>
          <t>MULLSJÖ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46228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46228</v>
      </c>
      <c r="F123" t="inlineStr">
        <is>
          <t>JÖNKÖPINGS LÄN</t>
        </is>
      </c>
      <c r="G123" t="inlineStr">
        <is>
          <t>MULLSJÖ</t>
        </is>
      </c>
      <c r="H123" t="inlineStr">
        <is>
          <t>Kommuner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  <c r="Z123">
        <f>HYPERLINK("https://klasma.github.io/Logging_0642/knärot/A 7181-2023 karta knärot.png", "A 7181-2023")</f>
        <v/>
      </c>
      <c r="AA123">
        <f>HYPERLINK("https://klasma.github.io/Logging_0642/klagomål/A 7181-2023 FSC-klagomål.docx", "A 7181-2023")</f>
        <v/>
      </c>
      <c r="AB123">
        <f>HYPERLINK("https://klasma.github.io/Logging_0642/klagomålsmail/A 7181-2023 FSC-klagomål mail.docx", "A 7181-2023")</f>
        <v/>
      </c>
      <c r="AC123">
        <f>HYPERLINK("https://klasma.github.io/Logging_0642/tillsyn/A 7181-2023 tillsynsbegäran.docx", "A 7181-2023")</f>
        <v/>
      </c>
      <c r="AD123">
        <f>HYPERLINK("https://klasma.github.io/Logging_0642/tillsynsmail/A 7181-2023 tillsynsbegäran mail.docx", "A 7181-2023")</f>
        <v/>
      </c>
    </row>
    <row r="124" ht="15" customHeight="1">
      <c r="A124" t="inlineStr">
        <is>
          <t>A 4355-2023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44954</v>
      </c>
      <c r="E124" s="1" t="n">
        <v>46228</v>
      </c>
      <c r="F124" t="inlineStr">
        <is>
          <t>JÖNKÖPINGS LÄN</t>
        </is>
      </c>
      <c r="G124" t="inlineStr">
        <is>
          <t>MULLSJÖ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46228</v>
      </c>
      <c r="F125" t="inlineStr">
        <is>
          <t>JÖNKÖPINGS LÄN</t>
        </is>
      </c>
      <c r="G125" t="inlineStr">
        <is>
          <t>MULLSJÖ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46228</v>
      </c>
      <c r="F126" t="inlineStr">
        <is>
          <t>JÖNKÖPINGS LÄN</t>
        </is>
      </c>
      <c r="G126" t="inlineStr">
        <is>
          <t>MULLSJÖ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46228</v>
      </c>
      <c r="F127" t="inlineStr">
        <is>
          <t>JÖNKÖPINGS LÄN</t>
        </is>
      </c>
      <c r="G127" t="inlineStr">
        <is>
          <t>MULLSJÖ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46228</v>
      </c>
      <c r="F128" t="inlineStr">
        <is>
          <t>JÖNKÖPINGS LÄN</t>
        </is>
      </c>
      <c r="G128" t="inlineStr">
        <is>
          <t>MULLSJÖ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46228</v>
      </c>
      <c r="F129" t="inlineStr">
        <is>
          <t>JÖNKÖPINGS LÄN</t>
        </is>
      </c>
      <c r="G129" t="inlineStr">
        <is>
          <t>MULLSJÖ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45305</v>
      </c>
      <c r="E130" s="1" t="n">
        <v>46228</v>
      </c>
      <c r="F130" t="inlineStr">
        <is>
          <t>JÖNKÖPINGS LÄN</t>
        </is>
      </c>
      <c r="G130" t="inlineStr">
        <is>
          <t>MULLSJÖ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46228</v>
      </c>
      <c r="F131" t="inlineStr">
        <is>
          <t>JÖNKÖPINGS LÄN</t>
        </is>
      </c>
      <c r="G131" t="inlineStr">
        <is>
          <t>MULLSJÖ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46228</v>
      </c>
      <c r="F132" t="inlineStr">
        <is>
          <t>JÖNKÖPINGS LÄN</t>
        </is>
      </c>
      <c r="G132" t="inlineStr">
        <is>
          <t>MULLSJÖ</t>
        </is>
      </c>
      <c r="I132" t="n">
        <v>14.1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46080</v>
      </c>
      <c r="E133" s="1" t="n">
        <v>46228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12351-2026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46088</v>
      </c>
      <c r="E134" s="1" t="n">
        <v>46228</v>
      </c>
      <c r="F134" t="inlineStr">
        <is>
          <t>JÖNKÖPINGS LÄN</t>
        </is>
      </c>
      <c r="G134" t="inlineStr">
        <is>
          <t>MULLSJÖ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46228</v>
      </c>
      <c r="F135" t="inlineStr">
        <is>
          <t>JÖNKÖPINGS LÄN</t>
        </is>
      </c>
      <c r="G135" t="inlineStr">
        <is>
          <t>MULLSJÖ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44954</v>
      </c>
      <c r="E136" s="1" t="n">
        <v>46228</v>
      </c>
      <c r="F136" t="inlineStr">
        <is>
          <t>JÖNKÖPINGS LÄN</t>
        </is>
      </c>
      <c r="G136" t="inlineStr">
        <is>
          <t>MULLSJÖ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44954</v>
      </c>
      <c r="E137" s="1" t="n">
        <v>46228</v>
      </c>
      <c r="F137" t="inlineStr">
        <is>
          <t>JÖNKÖPINGS LÄN</t>
        </is>
      </c>
      <c r="G137" t="inlineStr">
        <is>
          <t>MULLSJÖ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12273-2023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44998</v>
      </c>
      <c r="E138" s="1" t="n">
        <v>46228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46216</v>
      </c>
      <c r="E139" s="1" t="n">
        <v>46228</v>
      </c>
      <c r="F139" t="inlineStr">
        <is>
          <t>JÖNKÖPINGS LÄN</t>
        </is>
      </c>
      <c r="G139" t="inlineStr">
        <is>
          <t>MULLSJÖ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46228</v>
      </c>
      <c r="F140" t="inlineStr">
        <is>
          <t>JÖNKÖPINGS LÄN</t>
        </is>
      </c>
      <c r="G140" t="inlineStr">
        <is>
          <t>MULLSJÖ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46228</v>
      </c>
      <c r="F141" t="inlineStr">
        <is>
          <t>JÖNKÖPINGS LÄN</t>
        </is>
      </c>
      <c r="G141" t="inlineStr">
        <is>
          <t>MULLSJÖ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46228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45244</v>
      </c>
      <c r="E143" s="1" t="n">
        <v>46228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46228</v>
      </c>
      <c r="F144" t="inlineStr">
        <is>
          <t>JÖNKÖPINGS LÄN</t>
        </is>
      </c>
      <c r="G144" t="inlineStr">
        <is>
          <t>MULLSJÖ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46122</v>
      </c>
      <c r="E145" s="1" t="n">
        <v>46228</v>
      </c>
      <c r="F145" t="inlineStr">
        <is>
          <t>JÖNKÖPINGS LÄN</t>
        </is>
      </c>
      <c r="G145" t="inlineStr">
        <is>
          <t>MULLSJÖ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18421-2026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46126</v>
      </c>
      <c r="E146" s="1" t="n">
        <v>46228</v>
      </c>
      <c r="F146" t="inlineStr">
        <is>
          <t>JÖNKÖPINGS LÄN</t>
        </is>
      </c>
      <c r="G146" t="inlineStr">
        <is>
          <t>MULLSJÖ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44938</v>
      </c>
      <c r="E147" s="1" t="n">
        <v>46228</v>
      </c>
      <c r="F147" t="inlineStr">
        <is>
          <t>JÖNKÖPINGS LÄN</t>
        </is>
      </c>
      <c r="G147" t="inlineStr">
        <is>
          <t>MULLSJÖ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44796</v>
      </c>
      <c r="E148" s="1" t="n">
        <v>46228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46228</v>
      </c>
      <c r="F149" t="inlineStr">
        <is>
          <t>JÖNKÖPINGS LÄN</t>
        </is>
      </c>
      <c r="G149" t="inlineStr">
        <is>
          <t>MULLSJÖ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46228</v>
      </c>
      <c r="F150" t="inlineStr">
        <is>
          <t>JÖNKÖPINGS LÄN</t>
        </is>
      </c>
      <c r="G150" t="inlineStr">
        <is>
          <t>MULLSJÖ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46228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42872-2022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44832</v>
      </c>
      <c r="E152" s="1" t="n">
        <v>46228</v>
      </c>
      <c r="F152" t="inlineStr">
        <is>
          <t>JÖNKÖPINGS LÄN</t>
        </is>
      </c>
      <c r="G152" t="inlineStr">
        <is>
          <t>MULLSJÖ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46228</v>
      </c>
      <c r="F153" t="inlineStr">
        <is>
          <t>JÖNKÖPINGS LÄN</t>
        </is>
      </c>
      <c r="G153" t="inlineStr">
        <is>
          <t>MULLSJÖ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46228</v>
      </c>
      <c r="F154" t="inlineStr">
        <is>
          <t>JÖNKÖPINGS LÄN</t>
        </is>
      </c>
      <c r="G154" t="inlineStr">
        <is>
          <t>MULLSJÖ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45401</v>
      </c>
      <c r="E155" s="1" t="n">
        <v>46228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46228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46228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46228</v>
      </c>
      <c r="F158" t="inlineStr">
        <is>
          <t>JÖNKÖPINGS LÄN</t>
        </is>
      </c>
      <c r="G158" t="inlineStr">
        <is>
          <t>MULLSJÖ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46228</v>
      </c>
      <c r="F159" t="inlineStr">
        <is>
          <t>JÖNKÖPINGS LÄN</t>
        </is>
      </c>
      <c r="G159" t="inlineStr">
        <is>
          <t>MULLSJÖ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46228</v>
      </c>
      <c r="F160" t="inlineStr">
        <is>
          <t>JÖNKÖPINGS LÄN</t>
        </is>
      </c>
      <c r="G160" t="inlineStr">
        <is>
          <t>MULLSJÖ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46228</v>
      </c>
      <c r="F161" t="inlineStr">
        <is>
          <t>JÖNKÖPINGS LÄN</t>
        </is>
      </c>
      <c r="G161" t="inlineStr">
        <is>
          <t>MULLSJÖ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45752</v>
      </c>
      <c r="E162" s="1" t="n">
        <v>46228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46228</v>
      </c>
      <c r="F163" t="inlineStr">
        <is>
          <t>JÖNKÖPINGS LÄN</t>
        </is>
      </c>
      <c r="G163" t="inlineStr">
        <is>
          <t>MULLSJÖ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44670</v>
      </c>
      <c r="E164" s="1" t="n">
        <v>46228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46228</v>
      </c>
      <c r="F165" t="inlineStr">
        <is>
          <t>JÖNKÖPINGS LÄN</t>
        </is>
      </c>
      <c r="G165" t="inlineStr">
        <is>
          <t>MULLSJÖ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45246</v>
      </c>
      <c r="E166" s="1" t="n">
        <v>46228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46228</v>
      </c>
      <c r="F167" t="inlineStr">
        <is>
          <t>JÖNKÖPINGS LÄN</t>
        </is>
      </c>
      <c r="G167" t="inlineStr">
        <is>
          <t>MULLSJÖ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46228</v>
      </c>
      <c r="F168" t="inlineStr">
        <is>
          <t>JÖNKÖPINGS LÄN</t>
        </is>
      </c>
      <c r="G168" t="inlineStr">
        <is>
          <t>MULLSJÖ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46228</v>
      </c>
      <c r="F169" t="inlineStr">
        <is>
          <t>JÖNKÖPINGS LÄN</t>
        </is>
      </c>
      <c r="G169" t="inlineStr">
        <is>
          <t>MULLSJÖ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46228</v>
      </c>
      <c r="F170" t="inlineStr">
        <is>
          <t>JÖNKÖPINGS LÄN</t>
        </is>
      </c>
      <c r="G170" t="inlineStr">
        <is>
          <t>MULLSJÖ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46228</v>
      </c>
      <c r="F171" t="inlineStr">
        <is>
          <t>JÖNKÖPINGS LÄN</t>
        </is>
      </c>
      <c r="G171" t="inlineStr">
        <is>
          <t>MULLSJÖ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46228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46228</v>
      </c>
      <c r="F173" t="inlineStr">
        <is>
          <t>JÖNKÖPINGS LÄN</t>
        </is>
      </c>
      <c r="G173" t="inlineStr">
        <is>
          <t>MULLSJÖ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46228</v>
      </c>
      <c r="F174" t="inlineStr">
        <is>
          <t>JÖNKÖPINGS LÄN</t>
        </is>
      </c>
      <c r="G174" t="inlineStr">
        <is>
          <t>MULLSJÖ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46228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46228</v>
      </c>
      <c r="F176" t="inlineStr">
        <is>
          <t>JÖNKÖPINGS LÄN</t>
        </is>
      </c>
      <c r="G176" t="inlineStr">
        <is>
          <t>MULLSJÖ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46228</v>
      </c>
      <c r="F177" t="inlineStr">
        <is>
          <t>JÖNKÖPINGS LÄN</t>
        </is>
      </c>
      <c r="G177" t="inlineStr">
        <is>
          <t>MULLSJÖ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46228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46228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46228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46228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2026-07-25T01:48:15Z</dcterms:created>
  <dcterms:modified xmlns:dcterms="http://purl.org/dc/terms/" xmlns:xsi="http://www.w3.org/2001/XMLSchema-instance" xsi:type="dcterms:W3CDTF">2026-07-25T01:48:15Z</dcterms:modified>
</cp:coreProperties>
</file>