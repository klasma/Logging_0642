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46306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46306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46306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46306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46306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46306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46306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46306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46306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57195-2024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46306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5.3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HYPERLINK("https://klasma.github.io/Logging_0642/artfynd/A 57195-2024 artfynd.xlsx", "A 57195-2024")</f>
        <v/>
      </c>
      <c r="X19">
        <f>HYPERLINK("https://klasma.github.io/Logging_0642/kartor/A 57195-2024 karta.png", "A 57195-2024")</f>
        <v/>
      </c>
      <c r="Y19">
        <f>HYPERLINK("https://klasma.github.io/Logging_0642/kartor_geotiff/A 57195-2024 georefererad karta.tif", "A 57195-2024")</f>
        <v/>
      </c>
      <c r="AA19">
        <f>HYPERLINK("https://klasma.github.io/Logging_0642/klagomål/A 57195-2024 FSC-klagomål.docx", "A 57195-2024")</f>
        <v/>
      </c>
      <c r="AB19">
        <f>HYPERLINK("https://klasma.github.io/Logging_0642/klagomålsmail/A 57195-2024 FSC-klagomål mail.docx", "A 57195-2024")</f>
        <v/>
      </c>
      <c r="AC19">
        <f>HYPERLINK("https://klasma.github.io/Logging_0642/tillsyn/A 57195-2024 tillsynsbegäran.docx", "A 57195-2024")</f>
        <v/>
      </c>
      <c r="AD19">
        <f>HYPERLINK("https://klasma.github.io/Logging_0642/tillsynsmail/A 57195-2024 tillsynsbegäran mail.docx", "A 57195-2024")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46306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44654-2023 artfynd.xlsx", "A 44654-2023")</f>
        <v/>
      </c>
      <c r="X20">
        <f>HYPERLINK("https://klasma.github.io/Logging_0642/kartor/A 44654-2023 karta.png", "A 44654-2023")</f>
        <v/>
      </c>
      <c r="Y20">
        <f>HYPERLINK("https://klasma.github.io/Logging_0642/kartor_geotiff/A 44654-2023 georefererad karta.tif", "A 44654-2023")</f>
        <v/>
      </c>
      <c r="AA20">
        <f>HYPERLINK("https://klasma.github.io/Logging_0642/klagomål/A 44654-2023 FSC-klagomål.docx", "A 44654-2023")</f>
        <v/>
      </c>
      <c r="AB20">
        <f>HYPERLINK("https://klasma.github.io/Logging_0642/klagomålsmail/A 44654-2023 FSC-klagomål mail.docx", "A 44654-2023")</f>
        <v/>
      </c>
      <c r="AC20">
        <f>HYPERLINK("https://klasma.github.io/Logging_0642/tillsyn/A 44654-2023 tillsynsbegäran.docx", "A 44654-2023")</f>
        <v/>
      </c>
      <c r="AD20">
        <f>HYPERLINK("https://klasma.github.io/Logging_0642/tillsynsmail/A 44654-2023 tillsynsbegäran mail.docx", "A 44654-2023")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46306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46306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46306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46306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46306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46306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46306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1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46306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46306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46306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46306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46306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46306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46306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44620</v>
      </c>
      <c r="E36" s="1" t="n">
        <v>46306</v>
      </c>
      <c r="F36" t="inlineStr">
        <is>
          <t>JÖNKÖPINGS LÄN</t>
        </is>
      </c>
      <c r="G36" t="inlineStr">
        <is>
          <t>MULLSJÖ</t>
        </is>
      </c>
      <c r="I36" t="n">
        <v>16.8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46306</v>
      </c>
      <c r="F37" t="inlineStr">
        <is>
          <t>JÖNKÖPINGS LÄN</t>
        </is>
      </c>
      <c r="G37" t="inlineStr">
        <is>
          <t>MULLSJÖ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46306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46306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46306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44865</v>
      </c>
      <c r="E41" s="1" t="n">
        <v>46306</v>
      </c>
      <c r="F41" t="inlineStr">
        <is>
          <t>JÖNKÖPINGS LÄN</t>
        </is>
      </c>
      <c r="G41" t="inlineStr">
        <is>
          <t>MULLSJÖ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16567-2025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45752</v>
      </c>
      <c r="E42" s="1" t="n">
        <v>46306</v>
      </c>
      <c r="F42" t="inlineStr">
        <is>
          <t>JÖNKÖPINGS LÄN</t>
        </is>
      </c>
      <c r="G42" t="inlineStr">
        <is>
          <t>MULLSJÖ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16568-2025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45752</v>
      </c>
      <c r="E43" s="1" t="n">
        <v>46306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16570-2025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45752</v>
      </c>
      <c r="E44" s="1" t="n">
        <v>46306</v>
      </c>
      <c r="F44" t="inlineStr">
        <is>
          <t>JÖNKÖPINGS LÄN</t>
        </is>
      </c>
      <c r="G44" t="inlineStr">
        <is>
          <t>MULLSJÖ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46306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46306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46306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46306</v>
      </c>
      <c r="F48" t="inlineStr">
        <is>
          <t>JÖNKÖPINGS LÄN</t>
        </is>
      </c>
      <c r="G48" t="inlineStr">
        <is>
          <t>MULLSJÖ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45495</v>
      </c>
      <c r="E49" s="1" t="n">
        <v>46306</v>
      </c>
      <c r="F49" t="inlineStr">
        <is>
          <t>JÖNKÖPINGS LÄN</t>
        </is>
      </c>
      <c r="G49" t="inlineStr">
        <is>
          <t>MULLSJÖ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45676</v>
      </c>
      <c r="E50" s="1" t="n">
        <v>46306</v>
      </c>
      <c r="F50" t="inlineStr">
        <is>
          <t>JÖNKÖPINGS LÄN</t>
        </is>
      </c>
      <c r="G50" t="inlineStr">
        <is>
          <t>MULLSJÖ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46306</v>
      </c>
      <c r="F51" t="inlineStr">
        <is>
          <t>JÖNKÖPINGS LÄN</t>
        </is>
      </c>
      <c r="G51" t="inlineStr">
        <is>
          <t>MULLSJÖ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44954</v>
      </c>
      <c r="E52" s="1" t="n">
        <v>46306</v>
      </c>
      <c r="F52" t="inlineStr">
        <is>
          <t>JÖNKÖPINGS LÄN</t>
        </is>
      </c>
      <c r="G52" t="inlineStr">
        <is>
          <t>MULLSJÖ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42872-2022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44832</v>
      </c>
      <c r="E53" s="1" t="n">
        <v>46306</v>
      </c>
      <c r="F53" t="inlineStr">
        <is>
          <t>JÖNKÖPINGS LÄN</t>
        </is>
      </c>
      <c r="G53" t="inlineStr">
        <is>
          <t>MULLSJÖ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45455</v>
      </c>
      <c r="E54" s="1" t="n">
        <v>46306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46306</v>
      </c>
      <c r="F55" t="inlineStr">
        <is>
          <t>JÖNKÖPINGS LÄN</t>
        </is>
      </c>
      <c r="G55" t="inlineStr">
        <is>
          <t>MULLSJÖ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46306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44742</v>
      </c>
      <c r="E57" s="1" t="n">
        <v>46306</v>
      </c>
      <c r="F57" t="inlineStr">
        <is>
          <t>JÖNKÖPINGS LÄN</t>
        </is>
      </c>
      <c r="G57" t="inlineStr">
        <is>
          <t>MULLSJÖ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46306</v>
      </c>
      <c r="F58" t="inlineStr">
        <is>
          <t>JÖNKÖPINGS LÄN</t>
        </is>
      </c>
      <c r="G58" t="inlineStr">
        <is>
          <t>MULLSJÖ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46306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46306</v>
      </c>
      <c r="F60" t="inlineStr">
        <is>
          <t>JÖNKÖPINGS LÄN</t>
        </is>
      </c>
      <c r="G60" t="inlineStr">
        <is>
          <t>MULLSJÖ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46306</v>
      </c>
      <c r="F61" t="inlineStr">
        <is>
          <t>JÖNKÖPINGS LÄN</t>
        </is>
      </c>
      <c r="G61" t="inlineStr">
        <is>
          <t>MULLSJÖ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46306</v>
      </c>
      <c r="F62" t="inlineStr">
        <is>
          <t>JÖNKÖPINGS LÄN</t>
        </is>
      </c>
      <c r="G62" t="inlineStr">
        <is>
          <t>MULLSJÖ</t>
        </is>
      </c>
      <c r="I62" t="n">
        <v>10.9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46306</v>
      </c>
      <c r="F63" t="inlineStr">
        <is>
          <t>JÖNKÖPINGS LÄN</t>
        </is>
      </c>
      <c r="G63" t="inlineStr">
        <is>
          <t>MULLSJÖ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46306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46306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44952</v>
      </c>
      <c r="E66" s="1" t="n">
        <v>46306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46306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46306</v>
      </c>
      <c r="F68" t="inlineStr">
        <is>
          <t>JÖNKÖPINGS LÄN</t>
        </is>
      </c>
      <c r="G68" t="inlineStr">
        <is>
          <t>MULLSJÖ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46306</v>
      </c>
      <c r="F69" t="inlineStr">
        <is>
          <t>JÖNKÖPINGS LÄN</t>
        </is>
      </c>
      <c r="G69" t="inlineStr">
        <is>
          <t>MULLSJÖ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44889</v>
      </c>
      <c r="E70" s="1" t="n">
        <v>46306</v>
      </c>
      <c r="F70" t="inlineStr">
        <is>
          <t>JÖNKÖPINGS LÄN</t>
        </is>
      </c>
      <c r="G70" t="inlineStr">
        <is>
          <t>MULLSJÖ</t>
        </is>
      </c>
      <c r="I70" t="n">
        <v>14.1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46306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45521</v>
      </c>
      <c r="E72" s="1" t="n">
        <v>46306</v>
      </c>
      <c r="F72" t="inlineStr">
        <is>
          <t>JÖNKÖPINGS LÄN</t>
        </is>
      </c>
      <c r="G72" t="inlineStr">
        <is>
          <t>MULLSJÖ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46306</v>
      </c>
      <c r="F73" t="inlineStr">
        <is>
          <t>JÖNKÖPINGS LÄN</t>
        </is>
      </c>
      <c r="G73" t="inlineStr">
        <is>
          <t>MULLSJÖ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46306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46306</v>
      </c>
      <c r="F75" t="inlineStr">
        <is>
          <t>JÖNKÖPINGS LÄN</t>
        </is>
      </c>
      <c r="G75" t="inlineStr">
        <is>
          <t>MULLSJÖ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46306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46306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46306</v>
      </c>
      <c r="F78" t="inlineStr">
        <is>
          <t>JÖNKÖPINGS LÄN</t>
        </is>
      </c>
      <c r="G78" t="inlineStr">
        <is>
          <t>MULLSJÖ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46306</v>
      </c>
      <c r="F79" t="inlineStr">
        <is>
          <t>JÖNKÖPINGS LÄN</t>
        </is>
      </c>
      <c r="G79" t="inlineStr">
        <is>
          <t>MULLSJÖ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46306</v>
      </c>
      <c r="F80" t="inlineStr">
        <is>
          <t>JÖNKÖPINGS LÄN</t>
        </is>
      </c>
      <c r="G80" t="inlineStr">
        <is>
          <t>MULLSJÖ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46306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46306</v>
      </c>
      <c r="F82" t="inlineStr">
        <is>
          <t>JÖNKÖPINGS LÄN</t>
        </is>
      </c>
      <c r="G82" t="inlineStr">
        <is>
          <t>MULLSJÖ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45543</v>
      </c>
      <c r="E83" s="1" t="n">
        <v>46306</v>
      </c>
      <c r="F83" t="inlineStr">
        <is>
          <t>JÖNKÖPINGS LÄN</t>
        </is>
      </c>
      <c r="G83" t="inlineStr">
        <is>
          <t>MULLSJÖ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45543</v>
      </c>
      <c r="E84" s="1" t="n">
        <v>46306</v>
      </c>
      <c r="F84" t="inlineStr">
        <is>
          <t>JÖNKÖPINGS LÄN</t>
        </is>
      </c>
      <c r="G84" t="inlineStr">
        <is>
          <t>MULLSJÖ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45752</v>
      </c>
      <c r="E85" s="1" t="n">
        <v>46306</v>
      </c>
      <c r="F85" t="inlineStr">
        <is>
          <t>JÖNKÖPINGS LÄN</t>
        </is>
      </c>
      <c r="G85" t="inlineStr">
        <is>
          <t>MULLSJÖ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46306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46306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29527-2024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45484</v>
      </c>
      <c r="E88" s="1" t="n">
        <v>46306</v>
      </c>
      <c r="F88" t="inlineStr">
        <is>
          <t>JÖNKÖPINGS LÄN</t>
        </is>
      </c>
      <c r="G88" t="inlineStr">
        <is>
          <t>MULLSJÖ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46306</v>
      </c>
      <c r="F89" t="inlineStr">
        <is>
          <t>JÖNKÖPINGS LÄN</t>
        </is>
      </c>
      <c r="G89" t="inlineStr">
        <is>
          <t>MULLSJÖ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46306</v>
      </c>
      <c r="F90" t="inlineStr">
        <is>
          <t>JÖNKÖPINGS LÄN</t>
        </is>
      </c>
      <c r="G90" t="inlineStr">
        <is>
          <t>MULLSJÖ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44670</v>
      </c>
      <c r="E91" s="1" t="n">
        <v>46306</v>
      </c>
      <c r="F91" t="inlineStr">
        <is>
          <t>JÖNKÖPINGS LÄN</t>
        </is>
      </c>
      <c r="G91" t="inlineStr">
        <is>
          <t>MULLSJÖ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45928</v>
      </c>
      <c r="E92" s="1" t="n">
        <v>46306</v>
      </c>
      <c r="F92" t="inlineStr">
        <is>
          <t>JÖNKÖPINGS LÄN</t>
        </is>
      </c>
      <c r="G92" t="inlineStr">
        <is>
          <t>MULLSJÖ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45553</v>
      </c>
      <c r="E93" s="1" t="n">
        <v>46306</v>
      </c>
      <c r="F93" t="inlineStr">
        <is>
          <t>JÖNKÖPINGS LÄN</t>
        </is>
      </c>
      <c r="G93" t="inlineStr">
        <is>
          <t>MULLSJÖ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35244-2023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45145</v>
      </c>
      <c r="E94" s="1" t="n">
        <v>46306</v>
      </c>
      <c r="F94" t="inlineStr">
        <is>
          <t>JÖNKÖPINGS LÄN</t>
        </is>
      </c>
      <c r="G94" t="inlineStr">
        <is>
          <t>MULLSJÖ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46306</v>
      </c>
      <c r="F95" t="inlineStr">
        <is>
          <t>JÖNKÖPINGS LÄN</t>
        </is>
      </c>
      <c r="G95" t="inlineStr">
        <is>
          <t>MULLSJÖ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46306</v>
      </c>
      <c r="F96" t="inlineStr">
        <is>
          <t>JÖNKÖPINGS LÄN</t>
        </is>
      </c>
      <c r="G96" t="inlineStr">
        <is>
          <t>MULLSJÖ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46306</v>
      </c>
      <c r="F97" t="inlineStr">
        <is>
          <t>JÖNKÖPINGS LÄN</t>
        </is>
      </c>
      <c r="G97" t="inlineStr">
        <is>
          <t>MULLSJÖ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46306</v>
      </c>
      <c r="F98" t="inlineStr">
        <is>
          <t>JÖNKÖPINGS LÄN</t>
        </is>
      </c>
      <c r="G98" t="inlineStr">
        <is>
          <t>MULLSJÖ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46306</v>
      </c>
      <c r="F99" t="inlineStr">
        <is>
          <t>JÖNKÖPINGS LÄN</t>
        </is>
      </c>
      <c r="G99" t="inlineStr">
        <is>
          <t>MULLSJÖ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44656</v>
      </c>
      <c r="E100" s="1" t="n">
        <v>46306</v>
      </c>
      <c r="F100" t="inlineStr">
        <is>
          <t>JÖNKÖPINGS LÄN</t>
        </is>
      </c>
      <c r="G100" t="inlineStr">
        <is>
          <t>MULLSJÖ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46306</v>
      </c>
      <c r="F101" t="inlineStr">
        <is>
          <t>JÖNKÖPINGS LÄN</t>
        </is>
      </c>
      <c r="G101" t="inlineStr">
        <is>
          <t>MULLSJÖ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46306</v>
      </c>
      <c r="F102" t="inlineStr">
        <is>
          <t>JÖNKÖPINGS LÄN</t>
        </is>
      </c>
      <c r="G102" t="inlineStr">
        <is>
          <t>MULLSJÖ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45371</v>
      </c>
      <c r="E103" s="1" t="n">
        <v>46306</v>
      </c>
      <c r="F103" t="inlineStr">
        <is>
          <t>JÖNKÖPINGS LÄN</t>
        </is>
      </c>
      <c r="G103" t="inlineStr">
        <is>
          <t>MULLSJÖ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45682</v>
      </c>
      <c r="E104" s="1" t="n">
        <v>46306</v>
      </c>
      <c r="F104" t="inlineStr">
        <is>
          <t>JÖNKÖPINGS LÄN</t>
        </is>
      </c>
      <c r="G104" t="inlineStr">
        <is>
          <t>MULLSJÖ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46306</v>
      </c>
      <c r="F105" t="inlineStr">
        <is>
          <t>JÖNKÖPINGS LÄN</t>
        </is>
      </c>
      <c r="G105" t="inlineStr">
        <is>
          <t>MULLSJÖ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44707</v>
      </c>
      <c r="E106" s="1" t="n">
        <v>46306</v>
      </c>
      <c r="F106" t="inlineStr">
        <is>
          <t>JÖNKÖPINGS LÄN</t>
        </is>
      </c>
      <c r="G106" t="inlineStr">
        <is>
          <t>MULLSJÖ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46306</v>
      </c>
      <c r="F107" t="inlineStr">
        <is>
          <t>JÖNKÖPINGS LÄN</t>
        </is>
      </c>
      <c r="G107" t="inlineStr">
        <is>
          <t>MULLSJÖ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46306</v>
      </c>
      <c r="F108" t="inlineStr">
        <is>
          <t>JÖNKÖPINGS LÄN</t>
        </is>
      </c>
      <c r="G108" t="inlineStr">
        <is>
          <t>MULLSJÖ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46306</v>
      </c>
      <c r="F109" t="inlineStr">
        <is>
          <t>JÖNKÖPINGS LÄN</t>
        </is>
      </c>
      <c r="G109" t="inlineStr">
        <is>
          <t>MULLSJÖ</t>
        </is>
      </c>
      <c r="I109" t="n">
        <v>15.1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46306</v>
      </c>
      <c r="F110" t="inlineStr">
        <is>
          <t>JÖNKÖPINGS LÄN</t>
        </is>
      </c>
      <c r="G110" t="inlineStr">
        <is>
          <t>MULLSJÖ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46306</v>
      </c>
      <c r="F111" t="inlineStr">
        <is>
          <t>JÖNKÖPINGS LÄN</t>
        </is>
      </c>
      <c r="G111" t="inlineStr">
        <is>
          <t>MULLSJÖ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46306</v>
      </c>
      <c r="F112" t="inlineStr">
        <is>
          <t>JÖNKÖPINGS LÄN</t>
        </is>
      </c>
      <c r="G112" t="inlineStr">
        <is>
          <t>MULLSJÖ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46306</v>
      </c>
      <c r="F113" t="inlineStr">
        <is>
          <t>JÖNKÖPINGS LÄN</t>
        </is>
      </c>
      <c r="G113" t="inlineStr">
        <is>
          <t>MULLSJÖ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12273-2023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44998</v>
      </c>
      <c r="E114" s="1" t="n">
        <v>46306</v>
      </c>
      <c r="F114" t="inlineStr">
        <is>
          <t>JÖNKÖPINGS LÄN</t>
        </is>
      </c>
      <c r="G114" t="inlineStr">
        <is>
          <t>MULLSJÖ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45214</v>
      </c>
      <c r="E115" s="1" t="n">
        <v>46306</v>
      </c>
      <c r="F115" t="inlineStr">
        <is>
          <t>JÖNKÖPINGS LÄN</t>
        </is>
      </c>
      <c r="G115" t="inlineStr">
        <is>
          <t>MULLSJÖ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46306</v>
      </c>
      <c r="F116" t="inlineStr">
        <is>
          <t>JÖNKÖPINGS LÄN</t>
        </is>
      </c>
      <c r="G116" t="inlineStr">
        <is>
          <t>MULLSJÖ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46306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46306</v>
      </c>
      <c r="F118" t="inlineStr">
        <is>
          <t>JÖNKÖPINGS LÄN</t>
        </is>
      </c>
      <c r="G118" t="inlineStr">
        <is>
          <t>MULLSJÖ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46306</v>
      </c>
      <c r="F119" t="inlineStr">
        <is>
          <t>JÖNKÖPINGS LÄN</t>
        </is>
      </c>
      <c r="G119" t="inlineStr">
        <is>
          <t>MULLSJÖ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46306</v>
      </c>
      <c r="F120" t="inlineStr">
        <is>
          <t>JÖNKÖPINGS LÄN</t>
        </is>
      </c>
      <c r="G120" t="inlineStr">
        <is>
          <t>MULLSJÖ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46306</v>
      </c>
      <c r="F121" t="inlineStr">
        <is>
          <t>JÖNKÖPINGS LÄN</t>
        </is>
      </c>
      <c r="G121" t="inlineStr">
        <is>
          <t>MULLSJÖ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46306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46306</v>
      </c>
      <c r="F123" t="inlineStr">
        <is>
          <t>JÖNKÖPINGS LÄN</t>
        </is>
      </c>
      <c r="G123" t="inlineStr">
        <is>
          <t>MULLSJÖ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45596</v>
      </c>
      <c r="E124" s="1" t="n">
        <v>46306</v>
      </c>
      <c r="F124" t="inlineStr">
        <is>
          <t>JÖNKÖPINGS LÄN</t>
        </is>
      </c>
      <c r="G124" t="inlineStr">
        <is>
          <t>MULLSJÖ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44796</v>
      </c>
      <c r="E125" s="1" t="n">
        <v>46306</v>
      </c>
      <c r="F125" t="inlineStr">
        <is>
          <t>JÖNKÖPINGS LÄN</t>
        </is>
      </c>
      <c r="G125" t="inlineStr">
        <is>
          <t>MULLSJÖ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46306</v>
      </c>
      <c r="F126" t="inlineStr">
        <is>
          <t>JÖNKÖPINGS LÄN</t>
        </is>
      </c>
      <c r="G126" t="inlineStr">
        <is>
          <t>MULLSJÖ</t>
        </is>
      </c>
      <c r="H126" t="inlineStr">
        <is>
          <t>Kyrkan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45313</v>
      </c>
      <c r="E127" s="1" t="n">
        <v>46306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46306</v>
      </c>
      <c r="F128" t="inlineStr">
        <is>
          <t>JÖNKÖPINGS LÄN</t>
        </is>
      </c>
      <c r="G128" t="inlineStr">
        <is>
          <t>MULLSJÖ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46306</v>
      </c>
      <c r="F129" t="inlineStr">
        <is>
          <t>JÖNKÖPINGS LÄN</t>
        </is>
      </c>
      <c r="G129" t="inlineStr">
        <is>
          <t>MULLSJÖ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46306</v>
      </c>
      <c r="F130" t="inlineStr">
        <is>
          <t>JÖNKÖPINGS LÄN</t>
        </is>
      </c>
      <c r="G130" t="inlineStr">
        <is>
          <t>MULLSJÖ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46306</v>
      </c>
      <c r="F131" t="inlineStr">
        <is>
          <t>JÖNKÖPINGS LÄN</t>
        </is>
      </c>
      <c r="G131" t="inlineStr">
        <is>
          <t>MULLSJÖ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45752</v>
      </c>
      <c r="E132" s="1" t="n">
        <v>46306</v>
      </c>
      <c r="F132" t="inlineStr">
        <is>
          <t>JÖNKÖPINGS LÄN</t>
        </is>
      </c>
      <c r="G132" t="inlineStr">
        <is>
          <t>MULLSJÖ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46306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44966</v>
      </c>
      <c r="E134" s="1" t="n">
        <v>46306</v>
      </c>
      <c r="F134" t="inlineStr">
        <is>
          <t>JÖNKÖPINGS LÄN</t>
        </is>
      </c>
      <c r="G134" t="inlineStr">
        <is>
          <t>MULLSJÖ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46306</v>
      </c>
      <c r="F135" t="inlineStr">
        <is>
          <t>JÖNKÖPINGS LÄN</t>
        </is>
      </c>
      <c r="G135" t="inlineStr">
        <is>
          <t>MULLSJÖ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46306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46306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46306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46306</v>
      </c>
      <c r="F139" t="inlineStr">
        <is>
          <t>JÖNKÖPINGS LÄN</t>
        </is>
      </c>
      <c r="G139" t="inlineStr">
        <is>
          <t>MULLSJÖ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46306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46306</v>
      </c>
      <c r="F141" t="inlineStr">
        <is>
          <t>JÖNKÖPINGS LÄN</t>
        </is>
      </c>
      <c r="G141" t="inlineStr">
        <is>
          <t>MULLSJÖ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18421-2026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46306</v>
      </c>
      <c r="F142" t="inlineStr">
        <is>
          <t>JÖNKÖPINGS LÄN</t>
        </is>
      </c>
      <c r="G142" t="inlineStr">
        <is>
          <t>MULLSJÖ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46306</v>
      </c>
      <c r="F143" t="inlineStr">
        <is>
          <t>JÖNKÖPINGS LÄN</t>
        </is>
      </c>
      <c r="G143" t="inlineStr">
        <is>
          <t>MULLSJÖ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46306</v>
      </c>
      <c r="F144" t="inlineStr">
        <is>
          <t>JÖNKÖPINGS LÄN</t>
        </is>
      </c>
      <c r="G144" t="inlineStr">
        <is>
          <t>MULLSJÖ</t>
        </is>
      </c>
      <c r="H144" t="inlineStr">
        <is>
          <t>Kommuner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  <c r="Z144">
        <f>HYPERLINK("https://klasma.github.io/Logging_0642/knärot/A 7181-2023 karta knärot.png", "A 7181-2023")</f>
        <v/>
      </c>
      <c r="AA144">
        <f>HYPERLINK("https://klasma.github.io/Logging_0642/klagomål/A 7181-2023 FSC-klagomål.docx", "A 7181-2023")</f>
        <v/>
      </c>
      <c r="AB144">
        <f>HYPERLINK("https://klasma.github.io/Logging_0642/klagomålsmail/A 7181-2023 FSC-klagomål mail.docx", "A 7181-2023")</f>
        <v/>
      </c>
      <c r="AC144">
        <f>HYPERLINK("https://klasma.github.io/Logging_0642/tillsyn/A 7181-2023 tillsynsbegäran.docx", "A 7181-2023")</f>
        <v/>
      </c>
      <c r="AD144">
        <f>HYPERLINK("https://klasma.github.io/Logging_0642/tillsynsmail/A 7181-2023 tillsynsbegäran mail.docx", "A 7181-2023")</f>
        <v/>
      </c>
    </row>
    <row r="145" ht="15" customHeight="1">
      <c r="A145" t="inlineStr">
        <is>
          <t>A 28605-2023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46306</v>
      </c>
      <c r="F145" t="inlineStr">
        <is>
          <t>JÖNKÖPINGS LÄN</t>
        </is>
      </c>
      <c r="G145" t="inlineStr">
        <is>
          <t>MULLSJÖ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71048-2021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44538</v>
      </c>
      <c r="E146" s="1" t="n">
        <v>46306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62586-2025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46007</v>
      </c>
      <c r="E147" s="1" t="n">
        <v>46306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46306</v>
      </c>
      <c r="F148" t="inlineStr">
        <is>
          <t>JÖNKÖPINGS LÄN</t>
        </is>
      </c>
      <c r="G148" t="inlineStr">
        <is>
          <t>MULLSJÖ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46306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46306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46306</v>
      </c>
      <c r="F151" t="inlineStr">
        <is>
          <t>JÖNKÖPINGS LÄN</t>
        </is>
      </c>
      <c r="G151" t="inlineStr">
        <is>
          <t>MULLSJÖ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46306</v>
      </c>
      <c r="F152" t="inlineStr">
        <is>
          <t>JÖNKÖPINGS LÄN</t>
        </is>
      </c>
      <c r="G152" t="inlineStr">
        <is>
          <t>MULLSJÖ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46306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46306</v>
      </c>
      <c r="F154" t="inlineStr">
        <is>
          <t>JÖNKÖPINGS LÄN</t>
        </is>
      </c>
      <c r="G154" t="inlineStr">
        <is>
          <t>MULLSJÖ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46306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46306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46306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46306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46306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45083</v>
      </c>
      <c r="E160" s="1" t="n">
        <v>46306</v>
      </c>
      <c r="F160" t="inlineStr">
        <is>
          <t>JÖNKÖPINGS LÄN</t>
        </is>
      </c>
      <c r="G160" t="inlineStr">
        <is>
          <t>MULLSJÖ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12351-2026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46088</v>
      </c>
      <c r="E161" s="1" t="n">
        <v>46306</v>
      </c>
      <c r="F161" t="inlineStr">
        <is>
          <t>JÖNKÖPINGS LÄN</t>
        </is>
      </c>
      <c r="G161" t="inlineStr">
        <is>
          <t>MULLSJÖ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46306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46306</v>
      </c>
      <c r="F163" t="inlineStr">
        <is>
          <t>JÖNKÖPINGS LÄN</t>
        </is>
      </c>
      <c r="G163" t="inlineStr">
        <is>
          <t>MULLSJÖ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46306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46306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46306</v>
      </c>
      <c r="F166" t="inlineStr">
        <is>
          <t>JÖNKÖPINGS LÄN</t>
        </is>
      </c>
      <c r="G166" t="inlineStr">
        <is>
          <t>MULLSJÖ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46268</v>
      </c>
      <c r="E167" s="1" t="n">
        <v>46306</v>
      </c>
      <c r="F167" t="inlineStr">
        <is>
          <t>JÖNKÖPINGS LÄN</t>
        </is>
      </c>
      <c r="G167" t="inlineStr">
        <is>
          <t>MULLSJÖ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46306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46232</v>
      </c>
      <c r="E169" s="1" t="n">
        <v>46306</v>
      </c>
      <c r="F169" t="inlineStr">
        <is>
          <t>JÖNKÖPINGS LÄN</t>
        </is>
      </c>
      <c r="G169" t="inlineStr">
        <is>
          <t>MULLSJÖ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46306</v>
      </c>
      <c r="F170" t="inlineStr">
        <is>
          <t>JÖNKÖPINGS LÄN</t>
        </is>
      </c>
      <c r="G170" t="inlineStr">
        <is>
          <t>MULLSJÖ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46306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46306</v>
      </c>
      <c r="F172" t="inlineStr">
        <is>
          <t>JÖNKÖPINGS LÄN</t>
        </is>
      </c>
      <c r="G172" t="inlineStr">
        <is>
          <t>MULLSJÖ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46306</v>
      </c>
      <c r="F173" t="inlineStr">
        <is>
          <t>JÖNKÖPINGS LÄN</t>
        </is>
      </c>
      <c r="G173" t="inlineStr">
        <is>
          <t>MULLSJÖ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46293</v>
      </c>
      <c r="E174" s="1" t="n">
        <v>46306</v>
      </c>
      <c r="F174" t="inlineStr">
        <is>
          <t>JÖNKÖPINGS LÄN</t>
        </is>
      </c>
      <c r="G174" t="inlineStr">
        <is>
          <t>MULLSJÖ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46295</v>
      </c>
      <c r="E175" s="1" t="n">
        <v>46306</v>
      </c>
      <c r="F175" t="inlineStr">
        <is>
          <t>JÖNKÖPINGS LÄN</t>
        </is>
      </c>
      <c r="G175" t="inlineStr">
        <is>
          <t>MULLSJÖ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46306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46306</v>
      </c>
      <c r="F177" t="inlineStr">
        <is>
          <t>JÖNKÖPINGS LÄN</t>
        </is>
      </c>
      <c r="G177" t="inlineStr">
        <is>
          <t>MULLSJÖ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46306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46306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46306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2026-10-11T02:07:51Z</dcterms:created>
  <dcterms:modified xmlns:dcterms="http://purl.org/dc/terms/" xmlns:xsi="http://www.w3.org/2001/XMLSchema-instance" xsi:type="dcterms:W3CDTF">2026-10-11T02:07:51Z</dcterms:modified>
</cp:coreProperties>
</file>