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V2">
        <f>HYPERLINK("https://klasma.github.io/Logging_0642/artfynd/S 875-2025 artfynd.xlsx", "S 875-2025")</f>
        <v/>
      </c>
      <c r="W2">
        <f>HYPERLINK("https://klasma.github.io/Logging_0642/kartor/S 875-2025 karta.png", "S 875-2025")</f>
        <v/>
      </c>
      <c r="Y2">
        <f>HYPERLINK("https://klasma.github.io/Logging_0642/klagomål/S 875-2025 FSC-klagomål.docx", "S 875-2025")</f>
        <v/>
      </c>
      <c r="Z2">
        <f>HYPERLINK("https://klasma.github.io/Logging_0642/klagomålsmail/S 875-2025 FSC-klagomål mail.docx", "S 875-2025")</f>
        <v/>
      </c>
      <c r="AA2">
        <f>HYPERLINK("https://klasma.github.io/Logging_0642/tillsyn/S 875-2025 tillsynsbegäran.docx", "S 875-2025")</f>
        <v/>
      </c>
      <c r="AB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V3">
        <f>HYPERLINK("https://klasma.github.io/Logging_0642/artfynd/S 619-2024 artfynd.xlsx", "S 619-2024")</f>
        <v/>
      </c>
      <c r="W3">
        <f>HYPERLINK("https://klasma.github.io/Logging_0642/kartor/S 619-2024 karta.png", "S 619-2024")</f>
        <v/>
      </c>
      <c r="Y3">
        <f>HYPERLINK("https://klasma.github.io/Logging_0642/klagomål/S 619-2024 FSC-klagomål.docx", "S 619-2024")</f>
        <v/>
      </c>
      <c r="Z3">
        <f>HYPERLINK("https://klasma.github.io/Logging_0642/klagomålsmail/S 619-2024 FSC-klagomål mail.docx", "S 619-2024")</f>
        <v/>
      </c>
      <c r="AA3">
        <f>HYPERLINK("https://klasma.github.io/Logging_0642/tillsyn/S 619-2024 tillsynsbegäran.docx", "S 619-2024")</f>
        <v/>
      </c>
      <c r="AB3">
        <f>HYPERLINK("https://klasma.github.io/Logging_0642/tillsynsmail/S 619-2024 tillsynsbegäran mail.docx", "S 619-2024")</f>
        <v/>
      </c>
      <c r="AC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s="2" t="inlineStr">
        <is>
          <t>Ädellav
Brunpudrad nållav
Grynig filtlav
Lunglav
Brandticka
Grön sköldmossa
Gulnål
Korallblylav
Lönnlav
Mörk husmossa
Skinnlav
Skogshakmossa
Skuggsprötmossa</t>
        </is>
      </c>
      <c r="V4">
        <f>HYPERLINK("https://klasma.github.io/Logging_0642/artfynd/A 14606-2024 artfynd.xlsx", "A 14606-2024")</f>
        <v/>
      </c>
      <c r="W4">
        <f>HYPERLINK("https://klasma.github.io/Logging_0642/kartor/A 14606-2024 karta.png", "A 14606-2024")</f>
        <v/>
      </c>
      <c r="Y4">
        <f>HYPERLINK("https://klasma.github.io/Logging_0642/klagomål/A 14606-2024 FSC-klagomål.docx", "A 14606-2024")</f>
        <v/>
      </c>
      <c r="Z4">
        <f>HYPERLINK("https://klasma.github.io/Logging_0642/klagomålsmail/A 14606-2024 FSC-klagomål mail.docx", "A 14606-2024")</f>
        <v/>
      </c>
      <c r="AA4">
        <f>HYPERLINK("https://klasma.github.io/Logging_0642/tillsyn/A 14606-2024 tillsynsbegäran.docx", "A 14606-2024")</f>
        <v/>
      </c>
      <c r="AB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s="2" t="inlineStr">
        <is>
          <t>Brunpudrad nållav
Stor sotdyna
Grön sköldmossa
Gulnål
Kornig nållav
Lönnlav
Bandpraktmossa
Kransmossa</t>
        </is>
      </c>
      <c r="V5">
        <f>HYPERLINK("https://klasma.github.io/Logging_0642/artfynd/A 16467-2025 artfynd.xlsx", "A 16467-2025")</f>
        <v/>
      </c>
      <c r="W5">
        <f>HYPERLINK("https://klasma.github.io/Logging_0642/kartor/A 16467-2025 karta.png", "A 16467-2025")</f>
        <v/>
      </c>
      <c r="Y5">
        <f>HYPERLINK("https://klasma.github.io/Logging_0642/klagomål/A 16467-2025 FSC-klagomål.docx", "A 16467-2025")</f>
        <v/>
      </c>
      <c r="Z5">
        <f>HYPERLINK("https://klasma.github.io/Logging_0642/klagomålsmail/A 16467-2025 FSC-klagomål mail.docx", "A 16467-2025")</f>
        <v/>
      </c>
      <c r="AA5">
        <f>HYPERLINK("https://klasma.github.io/Logging_0642/tillsyn/A 16467-2025 tillsynsbegäran.docx", "A 16467-2025")</f>
        <v/>
      </c>
      <c r="AB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s="2" t="inlineStr">
        <is>
          <t>Knärot
Sandödla
Brunpudrad nållav
Blodticka
Gulnål
Kornig nållav</t>
        </is>
      </c>
      <c r="V6">
        <f>HYPERLINK("https://klasma.github.io/Logging_0642/artfynd/A 13663-2023 artfynd.xlsx", "A 13663-2023")</f>
        <v/>
      </c>
      <c r="W6">
        <f>HYPERLINK("https://klasma.github.io/Logging_0642/kartor/A 13663-2023 karta.png", "A 13663-2023")</f>
        <v/>
      </c>
      <c r="X6">
        <f>HYPERLINK("https://klasma.github.io/Logging_0642/knärot/A 13663-2023 karta knärot.png", "A 13663-2023")</f>
        <v/>
      </c>
      <c r="Y6">
        <f>HYPERLINK("https://klasma.github.io/Logging_0642/klagomål/A 13663-2023 FSC-klagomål.docx", "A 13663-2023")</f>
        <v/>
      </c>
      <c r="Z6">
        <f>HYPERLINK("https://klasma.github.io/Logging_0642/klagomålsmail/A 13663-2023 FSC-klagomål mail.docx", "A 13663-2023")</f>
        <v/>
      </c>
      <c r="AA6">
        <f>HYPERLINK("https://klasma.github.io/Logging_0642/tillsyn/A 13663-2023 tillsynsbegäran.docx", "A 13663-2023")</f>
        <v/>
      </c>
      <c r="AB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Motaggsvamp
Talltita
Spillkråka
Grönsiska</t>
        </is>
      </c>
      <c r="V7">
        <f>HYPERLINK("https://klasma.github.io/Logging_0642/artfynd/S 2938-2023 artfynd.xlsx", "S 2938-2023")</f>
        <v/>
      </c>
      <c r="W7">
        <f>HYPERLINK("https://klasma.github.io/Logging_0642/kartor/S 2938-2023 karta.png", "S 2938-2023")</f>
        <v/>
      </c>
      <c r="Y7">
        <f>HYPERLINK("https://klasma.github.io/Logging_0642/klagomål/S 2938-2023 FSC-klagomål.docx", "S 2938-2023")</f>
        <v/>
      </c>
      <c r="Z7">
        <f>HYPERLINK("https://klasma.github.io/Logging_0642/klagomålsmail/S 2938-2023 FSC-klagomål mail.docx", "S 2938-2023")</f>
        <v/>
      </c>
      <c r="AA7">
        <f>HYPERLINK("https://klasma.github.io/Logging_0642/tillsyn/S 2938-2023 tillsynsbegäran.docx", "S 2938-2023")</f>
        <v/>
      </c>
      <c r="AB7">
        <f>HYPERLINK("https://klasma.github.io/Logging_0642/tillsynsmail/S 2938-2023 tillsynsbegäran mail.docx", "S 2938-2023")</f>
        <v/>
      </c>
      <c r="AC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46221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Ask
Sommarfibbla
Svinrot</t>
        </is>
      </c>
      <c r="V8">
        <f>HYPERLINK("https://klasma.github.io/Logging_0642/artfynd/A 35828-2024 artfynd.xlsx", "A 35828-2024")</f>
        <v/>
      </c>
      <c r="W8">
        <f>HYPERLINK("https://klasma.github.io/Logging_0642/kartor/A 35828-2024 karta.png", "A 35828-2024")</f>
        <v/>
      </c>
      <c r="Y8">
        <f>HYPERLINK("https://klasma.github.io/Logging_0642/klagomål/A 35828-2024 FSC-klagomål.docx", "A 35828-2024")</f>
        <v/>
      </c>
      <c r="Z8">
        <f>HYPERLINK("https://klasma.github.io/Logging_0642/klagomålsmail/A 35828-2024 FSC-klagomål mail.docx", "A 35828-2024")</f>
        <v/>
      </c>
      <c r="AA8">
        <f>HYPERLINK("https://klasma.github.io/Logging_0642/tillsyn/A 35828-2024 tillsynsbegäran.docx", "A 35828-2024")</f>
        <v/>
      </c>
      <c r="AB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46221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Knärot
Lönnlav</t>
        </is>
      </c>
      <c r="V9">
        <f>HYPERLINK("https://klasma.github.io/Logging_0642/artfynd/A 45507-2024 artfynd.xlsx", "A 45507-2024")</f>
        <v/>
      </c>
      <c r="W9">
        <f>HYPERLINK("https://klasma.github.io/Logging_0642/kartor/A 45507-2024 karta.png", "A 45507-2024")</f>
        <v/>
      </c>
      <c r="X9">
        <f>HYPERLINK("https://klasma.github.io/Logging_0642/knärot/A 45507-2024 karta knärot.png", "A 45507-2024")</f>
        <v/>
      </c>
      <c r="Y9">
        <f>HYPERLINK("https://klasma.github.io/Logging_0642/klagomål/A 45507-2024 FSC-klagomål.docx", "A 45507-2024")</f>
        <v/>
      </c>
      <c r="Z9">
        <f>HYPERLINK("https://klasma.github.io/Logging_0642/klagomålsmail/A 45507-2024 FSC-klagomål mail.docx", "A 45507-2024")</f>
        <v/>
      </c>
      <c r="AA9">
        <f>HYPERLINK("https://klasma.github.io/Logging_0642/tillsyn/A 45507-2024 tillsynsbegäran.docx", "A 45507-2024")</f>
        <v/>
      </c>
      <c r="AB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46221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Spillkråka
Kungsfågel</t>
        </is>
      </c>
      <c r="V10">
        <f>HYPERLINK("https://klasma.github.io/Logging_0642/artfynd/A 55897-2021 artfynd.xlsx", "A 55897-2021")</f>
        <v/>
      </c>
      <c r="W10">
        <f>HYPERLINK("https://klasma.github.io/Logging_0642/kartor/A 55897-2021 karta.png", "A 55897-2021")</f>
        <v/>
      </c>
      <c r="Y10">
        <f>HYPERLINK("https://klasma.github.io/Logging_0642/klagomål/A 55897-2021 FSC-klagomål.docx", "A 55897-2021")</f>
        <v/>
      </c>
      <c r="Z10">
        <f>HYPERLINK("https://klasma.github.io/Logging_0642/klagomålsmail/A 55897-2021 FSC-klagomål mail.docx", "A 55897-2021")</f>
        <v/>
      </c>
      <c r="AA10">
        <f>HYPERLINK("https://klasma.github.io/Logging_0642/tillsyn/A 55897-2021 tillsynsbegäran.docx", "A 55897-2021")</f>
        <v/>
      </c>
      <c r="AB10">
        <f>HYPERLINK("https://klasma.github.io/Logging_0642/tillsynsmail/A 55897-2021 tillsynsbegäran mail.docx", "A 55897-2021")</f>
        <v/>
      </c>
      <c r="AC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46221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Slåtterfibbla</t>
        </is>
      </c>
      <c r="V11">
        <f>HYPERLINK("https://klasma.github.io/Logging_0642/artfynd/A 50161-2021 artfynd.xlsx", "A 50161-2021")</f>
        <v/>
      </c>
      <c r="W11">
        <f>HYPERLINK("https://klasma.github.io/Logging_0642/kartor/A 50161-2021 karta.png", "A 50161-2021")</f>
        <v/>
      </c>
      <c r="Y11">
        <f>HYPERLINK("https://klasma.github.io/Logging_0642/klagomål/A 50161-2021 FSC-klagomål.docx", "A 50161-2021")</f>
        <v/>
      </c>
      <c r="Z11">
        <f>HYPERLINK("https://klasma.github.io/Logging_0642/klagomålsmail/A 50161-2021 FSC-klagomål mail.docx", "A 50161-2021")</f>
        <v/>
      </c>
      <c r="AA11">
        <f>HYPERLINK("https://klasma.github.io/Logging_0642/tillsyn/A 50161-2021 tillsynsbegäran.docx", "A 50161-2021")</f>
        <v/>
      </c>
      <c r="AB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46221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Ask
Huskvarnafibbla</t>
        </is>
      </c>
      <c r="V12">
        <f>HYPERLINK("https://klasma.github.io/Logging_0642/artfynd/A 7817-2024 artfynd.xlsx", "A 7817-2024")</f>
        <v/>
      </c>
      <c r="W12">
        <f>HYPERLINK("https://klasma.github.io/Logging_0642/kartor/A 7817-2024 karta.png", "A 7817-2024")</f>
        <v/>
      </c>
      <c r="Y12">
        <f>HYPERLINK("https://klasma.github.io/Logging_0642/klagomål/A 7817-2024 FSC-klagomål.docx", "A 7817-2024")</f>
        <v/>
      </c>
      <c r="Z12">
        <f>HYPERLINK("https://klasma.github.io/Logging_0642/klagomålsmail/A 7817-2024 FSC-klagomål mail.docx", "A 7817-2024")</f>
        <v/>
      </c>
      <c r="AA12">
        <f>HYPERLINK("https://klasma.github.io/Logging_0642/tillsyn/A 7817-2024 tillsynsbegäran.docx", "A 7817-2024")</f>
        <v/>
      </c>
      <c r="AB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46221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Fläcknycklar
Grönvit nattviol</t>
        </is>
      </c>
      <c r="V13">
        <f>HYPERLINK("https://klasma.github.io/Logging_0642/artfynd/A 7365-2023 artfynd.xlsx", "A 7365-2023")</f>
        <v/>
      </c>
      <c r="W13">
        <f>HYPERLINK("https://klasma.github.io/Logging_0642/kartor/A 7365-2023 karta.png", "A 7365-2023")</f>
        <v/>
      </c>
      <c r="Y13">
        <f>HYPERLINK("https://klasma.github.io/Logging_0642/klagomål/A 7365-2023 FSC-klagomål.docx", "A 7365-2023")</f>
        <v/>
      </c>
      <c r="Z13">
        <f>HYPERLINK("https://klasma.github.io/Logging_0642/klagomålsmail/A 7365-2023 FSC-klagomål mail.docx", "A 7365-2023")</f>
        <v/>
      </c>
      <c r="AA13">
        <f>HYPERLINK("https://klasma.github.io/Logging_0642/tillsyn/A 7365-2023 tillsynsbegäran.docx", "A 7365-2023")</f>
        <v/>
      </c>
      <c r="AB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46221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HYPERLINK("https://klasma.github.io/Logging_0642/artfynd/S 3854-2022 artfynd.xlsx", "S 3854-2022")</f>
        <v/>
      </c>
      <c r="W14">
        <f>HYPERLINK("https://klasma.github.io/Logging_0642/kartor/S 3854-2022 karta.png", "S 3854-2022")</f>
        <v/>
      </c>
      <c r="Y14">
        <f>HYPERLINK("https://klasma.github.io/Logging_0642/klagomål/S 3854-2022 FSC-klagomål.docx", "S 3854-2022")</f>
        <v/>
      </c>
      <c r="Z14">
        <f>HYPERLINK("https://klasma.github.io/Logging_0642/klagomålsmail/S 3854-2022 FSC-klagomål mail.docx", "S 3854-2022")</f>
        <v/>
      </c>
      <c r="AA14">
        <f>HYPERLINK("https://klasma.github.io/Logging_0642/tillsyn/S 3854-2022 tillsynsbegäran.docx", "S 3854-2022")</f>
        <v/>
      </c>
      <c r="AB14">
        <f>HYPERLINK("https://klasma.github.io/Logging_0642/tillsynsmail/S 3854-2022 tillsynsbegäran mail.docx", "S 3854-2022")</f>
        <v/>
      </c>
      <c r="AC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46221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HYPERLINK("https://klasma.github.io/Logging_0642/artfynd/A 47692-2022 artfynd.xlsx", "A 47692-2022")</f>
        <v/>
      </c>
      <c r="W15">
        <f>HYPERLINK("https://klasma.github.io/Logging_0642/kartor/A 47692-2022 karta.png", "A 47692-2022")</f>
        <v/>
      </c>
      <c r="Y15">
        <f>HYPERLINK("https://klasma.github.io/Logging_0642/klagomål/A 47692-2022 FSC-klagomål.docx", "A 47692-2022")</f>
        <v/>
      </c>
      <c r="Z15">
        <f>HYPERLINK("https://klasma.github.io/Logging_0642/klagomålsmail/A 47692-2022 FSC-klagomål mail.docx", "A 47692-2022")</f>
        <v/>
      </c>
      <c r="AA15">
        <f>HYPERLINK("https://klasma.github.io/Logging_0642/tillsyn/A 47692-2022 tillsynsbegäran.docx", "A 47692-2022")</f>
        <v/>
      </c>
      <c r="AB15">
        <f>HYPERLINK("https://klasma.github.io/Logging_0642/tillsynsmail/A 47692-2022 tillsynsbegäran mail.docx", "A 47692-2022")</f>
        <v/>
      </c>
      <c r="AC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46221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HYPERLINK("https://klasma.github.io/Logging_0642/artfynd/A 46006-2022 artfynd.xlsx", "A 46006-2022")</f>
        <v/>
      </c>
      <c r="W16">
        <f>HYPERLINK("https://klasma.github.io/Logging_0642/kartor/A 46006-2022 karta.png", "A 46006-2022")</f>
        <v/>
      </c>
      <c r="Y16">
        <f>HYPERLINK("https://klasma.github.io/Logging_0642/klagomål/A 46006-2022 FSC-klagomål.docx", "A 46006-2022")</f>
        <v/>
      </c>
      <c r="Z16">
        <f>HYPERLINK("https://klasma.github.io/Logging_0642/klagomålsmail/A 46006-2022 FSC-klagomål mail.docx", "A 46006-2022")</f>
        <v/>
      </c>
      <c r="AA16">
        <f>HYPERLINK("https://klasma.github.io/Logging_0642/tillsyn/A 46006-2022 tillsynsbegäran.docx", "A 46006-2022")</f>
        <v/>
      </c>
      <c r="AB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46221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HYPERLINK("https://klasma.github.io/Logging_0642/artfynd/A 7823-2024 artfynd.xlsx", "A 7823-2024")</f>
        <v/>
      </c>
      <c r="W17">
        <f>HYPERLINK("https://klasma.github.io/Logging_0642/kartor/A 7823-2024 karta.png", "A 7823-2024")</f>
        <v/>
      </c>
      <c r="Y17">
        <f>HYPERLINK("https://klasma.github.io/Logging_0642/klagomål/A 7823-2024 FSC-klagomål.docx", "A 7823-2024")</f>
        <v/>
      </c>
      <c r="Z17">
        <f>HYPERLINK("https://klasma.github.io/Logging_0642/klagomålsmail/A 7823-2024 FSC-klagomål mail.docx", "A 7823-2024")</f>
        <v/>
      </c>
      <c r="AA17">
        <f>HYPERLINK("https://klasma.github.io/Logging_0642/tillsyn/A 7823-2024 tillsynsbegäran.docx", "A 7823-2024")</f>
        <v/>
      </c>
      <c r="AB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46221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HYPERLINK("https://klasma.github.io/Logging_0642/artfynd/A 62232-2022 artfynd.xlsx", "A 62232-2022")</f>
        <v/>
      </c>
      <c r="W18">
        <f>HYPERLINK("https://klasma.github.io/Logging_0642/kartor/A 62232-2022 karta.png", "A 62232-2022")</f>
        <v/>
      </c>
      <c r="Y18">
        <f>HYPERLINK("https://klasma.github.io/Logging_0642/klagomål/A 62232-2022 FSC-klagomål.docx", "A 62232-2022")</f>
        <v/>
      </c>
      <c r="Z18">
        <f>HYPERLINK("https://klasma.github.io/Logging_0642/klagomålsmail/A 62232-2022 FSC-klagomål mail.docx", "A 62232-2022")</f>
        <v/>
      </c>
      <c r="AA18">
        <f>HYPERLINK("https://klasma.github.io/Logging_0642/tillsyn/A 62232-2022 tillsynsbegäran.docx", "A 62232-2022")</f>
        <v/>
      </c>
      <c r="AB18">
        <f>HYPERLINK("https://klasma.github.io/Logging_0642/tillsynsmail/A 62232-2022 tillsynsbegäran mail.docx", "A 62232-2022")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46221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HYPERLINK("https://klasma.github.io/Logging_0642/artfynd/A 15498-2024 artfynd.xlsx", "A 15498-2024")</f>
        <v/>
      </c>
      <c r="W19">
        <f>HYPERLINK("https://klasma.github.io/Logging_0642/kartor/A 15498-2024 karta.png", "A 15498-2024")</f>
        <v/>
      </c>
      <c r="X19">
        <f>HYPERLINK("https://klasma.github.io/Logging_0642/knärot/A 15498-2024 karta knärot.png", "A 15498-2024")</f>
        <v/>
      </c>
      <c r="Y19">
        <f>HYPERLINK("https://klasma.github.io/Logging_0642/klagomål/A 15498-2024 FSC-klagomål.docx", "A 15498-2024")</f>
        <v/>
      </c>
      <c r="Z19">
        <f>HYPERLINK("https://klasma.github.io/Logging_0642/klagomålsmail/A 15498-2024 FSC-klagomål mail.docx", "A 15498-2024")</f>
        <v/>
      </c>
      <c r="AA19">
        <f>HYPERLINK("https://klasma.github.io/Logging_0642/tillsyn/A 15498-2024 tillsynsbegäran.docx", "A 15498-2024")</f>
        <v/>
      </c>
      <c r="AB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46221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Ask</t>
        </is>
      </c>
      <c r="V20">
        <f>HYPERLINK("https://klasma.github.io/Logging_0642/artfynd/A 55693-2025 artfynd.xlsx", "A 55693-2025")</f>
        <v/>
      </c>
      <c r="W20">
        <f>HYPERLINK("https://klasma.github.io/Logging_0642/kartor/A 55693-2025 karta.png", "A 55693-2025")</f>
        <v/>
      </c>
      <c r="Y20">
        <f>HYPERLINK("https://klasma.github.io/Logging_0642/klagomål/A 55693-2025 FSC-klagomål.docx", "A 55693-2025")</f>
        <v/>
      </c>
      <c r="Z20">
        <f>HYPERLINK("https://klasma.github.io/Logging_0642/klagomålsmail/A 55693-2025 FSC-klagomål mail.docx", "A 55693-2025")</f>
        <v/>
      </c>
      <c r="AA20">
        <f>HYPERLINK("https://klasma.github.io/Logging_0642/tillsyn/A 55693-2025 tillsynsbegäran.docx", "A 55693-2025")</f>
        <v/>
      </c>
      <c r="AB20">
        <f>HYPERLINK("https://klasma.github.io/Logging_0642/tillsynsmail/A 55693-2025 tillsynsbegäran mail.docx", "A 55693-2025")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46221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HYPERLINK("https://klasma.github.io/Logging_0642/artfynd/A 56244-2022 artfynd.xlsx", "A 56244-2022")</f>
        <v/>
      </c>
      <c r="W21">
        <f>HYPERLINK("https://klasma.github.io/Logging_0642/kartor/A 56244-2022 karta.png", "A 56244-2022")</f>
        <v/>
      </c>
      <c r="Y21">
        <f>HYPERLINK("https://klasma.github.io/Logging_0642/klagomål/A 56244-2022 FSC-klagomål.docx", "A 56244-2022")</f>
        <v/>
      </c>
      <c r="Z21">
        <f>HYPERLINK("https://klasma.github.io/Logging_0642/klagomålsmail/A 56244-2022 FSC-klagomål mail.docx", "A 56244-2022")</f>
        <v/>
      </c>
      <c r="AA21">
        <f>HYPERLINK("https://klasma.github.io/Logging_0642/tillsyn/A 56244-2022 tillsynsbegäran.docx", "A 56244-2022")</f>
        <v/>
      </c>
      <c r="AB21">
        <f>HYPERLINK("https://klasma.github.io/Logging_0642/tillsynsmail/A 56244-2022 tillsynsbegäran mail.docx", "A 56244-2022")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46221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Guldlockmossa</t>
        </is>
      </c>
      <c r="V22">
        <f>HYPERLINK("https://klasma.github.io/Logging_0642/artfynd/A 14230-2024 artfynd.xlsx", "A 14230-2024")</f>
        <v/>
      </c>
      <c r="W22">
        <f>HYPERLINK("https://klasma.github.io/Logging_0642/kartor/A 14230-2024 karta.png", "A 14230-2024")</f>
        <v/>
      </c>
      <c r="Y22">
        <f>HYPERLINK("https://klasma.github.io/Logging_0642/klagomål/A 14230-2024 FSC-klagomål.docx", "A 14230-2024")</f>
        <v/>
      </c>
      <c r="Z22">
        <f>HYPERLINK("https://klasma.github.io/Logging_0642/klagomålsmail/A 14230-2024 FSC-klagomål mail.docx", "A 14230-2024")</f>
        <v/>
      </c>
      <c r="AA22">
        <f>HYPERLINK("https://klasma.github.io/Logging_0642/tillsyn/A 14230-2024 tillsynsbegäran.docx", "A 14230-2024")</f>
        <v/>
      </c>
      <c r="AB22">
        <f>HYPERLINK("https://klasma.github.io/Logging_0642/tillsynsmail/A 14230-2024 tillsynsbegäran mail.docx", "A 14230-2024")</f>
        <v/>
      </c>
    </row>
    <row r="23" ht="15" customHeight="1">
      <c r="A23" t="inlineStr">
        <is>
          <t>A 1221-2026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46221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s="2" t="inlineStr">
        <is>
          <t>Slåtterfibbla</t>
        </is>
      </c>
      <c r="V23">
        <f>HYPERLINK("https://klasma.github.io/Logging_0642/artfynd/A 1221-2026 artfynd.xlsx", "A 1221-2026")</f>
        <v/>
      </c>
      <c r="W23">
        <f>HYPERLINK("https://klasma.github.io/Logging_0642/kartor/A 1221-2026 karta.png", "A 1221-2026")</f>
        <v/>
      </c>
      <c r="Y23">
        <f>HYPERLINK("https://klasma.github.io/Logging_0642/klagomål/A 1221-2026 FSC-klagomål.docx", "A 1221-2026")</f>
        <v/>
      </c>
      <c r="Z23">
        <f>HYPERLINK("https://klasma.github.io/Logging_0642/klagomålsmail/A 1221-2026 FSC-klagomål mail.docx", "A 1221-2026")</f>
        <v/>
      </c>
      <c r="AA23">
        <f>HYPERLINK("https://klasma.github.io/Logging_0642/tillsyn/A 1221-2026 tillsynsbegäran.docx", "A 1221-2026")</f>
        <v/>
      </c>
      <c r="AB23">
        <f>HYPERLINK("https://klasma.github.io/Logging_0642/tillsynsmail/A 1221-2026 tillsynsbegäran mail.docx", "A 1221-2026")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46221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s="2" t="inlineStr">
        <is>
          <t>Fläcknycklar</t>
        </is>
      </c>
      <c r="V24">
        <f>HYPERLINK("https://klasma.github.io/Logging_0642/artfynd/A 17825-2026 artfynd.xlsx", "A 17825-2026")</f>
        <v/>
      </c>
      <c r="W24">
        <f>HYPERLINK("https://klasma.github.io/Logging_0642/kartor/A 17825-2026 karta.png", "A 17825-2026")</f>
        <v/>
      </c>
      <c r="Y24">
        <f>HYPERLINK("https://klasma.github.io/Logging_0642/klagomål/A 17825-2026 FSC-klagomål.docx", "A 17825-2026")</f>
        <v/>
      </c>
      <c r="Z24">
        <f>HYPERLINK("https://klasma.github.io/Logging_0642/klagomålsmail/A 17825-2026 FSC-klagomål mail.docx", "A 17825-2026")</f>
        <v/>
      </c>
      <c r="AA24">
        <f>HYPERLINK("https://klasma.github.io/Logging_0642/tillsyn/A 17825-2026 tillsynsbegäran.docx", "A 17825-2026")</f>
        <v/>
      </c>
      <c r="AB24">
        <f>HYPERLINK("https://klasma.github.io/Logging_0642/tillsynsmail/A 17825-2026 tillsynsbegäran mail.docx", "A 17825-2026")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46221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Älg</t>
        </is>
      </c>
      <c r="V25">
        <f>HYPERLINK("https://klasma.github.io/Logging_0642/artfynd/A 57195-2024 artfynd.xlsx", "A 57195-2024")</f>
        <v/>
      </c>
      <c r="W25">
        <f>HYPERLINK("https://klasma.github.io/Logging_0642/kartor/A 57195-2024 karta.png", "A 57195-2024")</f>
        <v/>
      </c>
      <c r="Y25">
        <f>HYPERLINK("https://klasma.github.io/Logging_0642/klagomål/A 57195-2024 FSC-klagomål.docx", "A 57195-2024")</f>
        <v/>
      </c>
      <c r="Z25">
        <f>HYPERLINK("https://klasma.github.io/Logging_0642/klagomålsmail/A 57195-2024 FSC-klagomål mail.docx", "A 57195-2024")</f>
        <v/>
      </c>
      <c r="AA25">
        <f>HYPERLINK("https://klasma.github.io/Logging_0642/tillsyn/A 57195-2024 tillsynsbegäran.docx", "A 57195-2024")</f>
        <v/>
      </c>
      <c r="AB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46221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Västlig hakmossa</t>
        </is>
      </c>
      <c r="V26">
        <f>HYPERLINK("https://klasma.github.io/Logging_0642/artfynd/A 13882-2023 artfynd.xlsx", "A 13882-2023")</f>
        <v/>
      </c>
      <c r="W26">
        <f>HYPERLINK("https://klasma.github.io/Logging_0642/kartor/A 13882-2023 karta.png", "A 13882-2023")</f>
        <v/>
      </c>
      <c r="Y26">
        <f>HYPERLINK("https://klasma.github.io/Logging_0642/klagomål/A 13882-2023 FSC-klagomål.docx", "A 13882-2023")</f>
        <v/>
      </c>
      <c r="Z26">
        <f>HYPERLINK("https://klasma.github.io/Logging_0642/klagomålsmail/A 13882-2023 FSC-klagomål mail.docx", "A 13882-2023")</f>
        <v/>
      </c>
      <c r="AA26">
        <f>HYPERLINK("https://klasma.github.io/Logging_0642/tillsyn/A 13882-2023 tillsynsbegäran.docx", "A 13882-2023")</f>
        <v/>
      </c>
      <c r="AB26">
        <f>HYPERLINK("https://klasma.github.io/Logging_0642/tillsynsmail/A 13882-2023 tillsynsbegäran mail.docx", "A 13882-2023")</f>
        <v/>
      </c>
    </row>
    <row r="27" ht="15" customHeight="1">
      <c r="A27" t="inlineStr">
        <is>
          <t>A 56310-2025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45974</v>
      </c>
      <c r="E27" s="1" t="n">
        <v>46221</v>
      </c>
      <c r="F27" t="inlineStr">
        <is>
          <t>JÖNKÖPINGS LÄN</t>
        </is>
      </c>
      <c r="G27" t="inlineStr">
        <is>
          <t>MULLSJÖ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HYPERLINK("https://klasma.github.io/Logging_0642/artfynd/A 56310-2025 artfynd.xlsx", "A 56310-2025")</f>
        <v/>
      </c>
      <c r="W27">
        <f>HYPERLINK("https://klasma.github.io/Logging_0642/kartor/A 56310-2025 karta.png", "A 56310-2025")</f>
        <v/>
      </c>
      <c r="Y27">
        <f>HYPERLINK("https://klasma.github.io/Logging_0642/klagomål/A 56310-2025 FSC-klagomål.docx", "A 56310-2025")</f>
        <v/>
      </c>
      <c r="Z27">
        <f>HYPERLINK("https://klasma.github.io/Logging_0642/klagomålsmail/A 56310-2025 FSC-klagomål mail.docx", "A 56310-2025")</f>
        <v/>
      </c>
      <c r="AA27">
        <f>HYPERLINK("https://klasma.github.io/Logging_0642/tillsyn/A 56310-2025 tillsynsbegäran.docx", "A 56310-2025")</f>
        <v/>
      </c>
      <c r="AB27">
        <f>HYPERLINK("https://klasma.github.io/Logging_0642/tillsynsmail/A 56310-2025 tillsynsbegäran mail.docx", "A 56310-2025")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46221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Slåtterfibbla</t>
        </is>
      </c>
      <c r="V28">
        <f>HYPERLINK("https://klasma.github.io/Logging_0642/artfynd/A 7821-2024 artfynd.xlsx", "A 7821-2024")</f>
        <v/>
      </c>
      <c r="W28">
        <f>HYPERLINK("https://klasma.github.io/Logging_0642/kartor/A 7821-2024 karta.png", "A 7821-2024")</f>
        <v/>
      </c>
      <c r="Y28">
        <f>HYPERLINK("https://klasma.github.io/Logging_0642/klagomål/A 7821-2024 FSC-klagomål.docx", "A 7821-2024")</f>
        <v/>
      </c>
      <c r="Z28">
        <f>HYPERLINK("https://klasma.github.io/Logging_0642/klagomålsmail/A 7821-2024 FSC-klagomål mail.docx", "A 7821-2024")</f>
        <v/>
      </c>
      <c r="AA28">
        <f>HYPERLINK("https://klasma.github.io/Logging_0642/tillsyn/A 7821-2024 tillsynsbegäran.docx", "A 7821-2024")</f>
        <v/>
      </c>
      <c r="AB28">
        <f>HYPERLINK("https://klasma.github.io/Logging_0642/tillsynsmail/A 7821-2024 tillsynsbegäran mail.docx", "A 7821-2024")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46221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Igelkott</t>
        </is>
      </c>
      <c r="V29">
        <f>HYPERLINK("https://klasma.github.io/Logging_0642/artfynd/A 44654-2023 artfynd.xlsx", "A 44654-2023")</f>
        <v/>
      </c>
      <c r="W29">
        <f>HYPERLINK("https://klasma.github.io/Logging_0642/kartor/A 44654-2023 karta.png", "A 44654-2023")</f>
        <v/>
      </c>
      <c r="Y29">
        <f>HYPERLINK("https://klasma.github.io/Logging_0642/klagomål/A 44654-2023 FSC-klagomål.docx", "A 44654-2023")</f>
        <v/>
      </c>
      <c r="Z29">
        <f>HYPERLINK("https://klasma.github.io/Logging_0642/klagomålsmail/A 44654-2023 FSC-klagomål mail.docx", "A 44654-2023")</f>
        <v/>
      </c>
      <c r="AA29">
        <f>HYPERLINK("https://klasma.github.io/Logging_0642/tillsyn/A 44654-2023 tillsynsbegäran.docx", "A 44654-2023")</f>
        <v/>
      </c>
      <c r="AB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46221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HYPERLINK("https://klasma.github.io/Logging_0642/artfynd/S 694-2026 artfynd.xlsx", "S 694-2026")</f>
        <v/>
      </c>
      <c r="W30">
        <f>HYPERLINK("https://klasma.github.io/Logging_0642/kartor/S 694-2026 karta.png", "S 694-2026")</f>
        <v/>
      </c>
      <c r="Y30">
        <f>HYPERLINK("https://klasma.github.io/Logging_0642/klagomål/S 694-2026 FSC-klagomål.docx", "S 694-2026")</f>
        <v/>
      </c>
      <c r="Z30">
        <f>HYPERLINK("https://klasma.github.io/Logging_0642/klagomålsmail/S 694-2026 FSC-klagomål mail.docx", "S 694-2026")</f>
        <v/>
      </c>
      <c r="AA30">
        <f>HYPERLINK("https://klasma.github.io/Logging_0642/tillsyn/S 694-2026 tillsynsbegäran.docx", "S 694-2026")</f>
        <v/>
      </c>
      <c r="AB30">
        <f>HYPERLINK("https://klasma.github.io/Logging_0642/tillsynsmail/S 694-2026 tillsynsbegäran mail.docx", "S 694-2026")</f>
        <v/>
      </c>
      <c r="AC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46221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46221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46221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46221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46221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46221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46221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46221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46221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46221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46221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46221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46221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46221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46221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46221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7278-2025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46221</v>
      </c>
      <c r="F47" t="inlineStr">
        <is>
          <t>JÖNKÖPINGS LÄN</t>
        </is>
      </c>
      <c r="G47" t="inlineStr">
        <is>
          <t>MULLSJÖ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39353-2022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46221</v>
      </c>
      <c r="F48" t="inlineStr">
        <is>
          <t>JÖNKÖPINGS LÄN</t>
        </is>
      </c>
      <c r="G48" t="inlineStr">
        <is>
          <t>MULLSJÖ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46221</v>
      </c>
      <c r="F49" t="inlineStr">
        <is>
          <t>JÖNKÖPINGS LÄN</t>
        </is>
      </c>
      <c r="G49" t="inlineStr">
        <is>
          <t>MULLSJÖ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42872-2022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44832</v>
      </c>
      <c r="E50" s="1" t="n">
        <v>46221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23787-2024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45455</v>
      </c>
      <c r="E51" s="1" t="n">
        <v>46221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52385-2022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46221</v>
      </c>
      <c r="F52" t="inlineStr">
        <is>
          <t>JÖNKÖPINGS LÄN</t>
        </is>
      </c>
      <c r="G52" t="inlineStr">
        <is>
          <t>MULLSJÖ</t>
        </is>
      </c>
      <c r="I52" t="n">
        <v>10.9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46221</v>
      </c>
      <c r="F53" t="inlineStr">
        <is>
          <t>JÖNKÖPINGS LÄN</t>
        </is>
      </c>
      <c r="G53" t="inlineStr">
        <is>
          <t>MULLSJÖ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46221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46221</v>
      </c>
      <c r="F55" t="inlineStr">
        <is>
          <t>JÖNKÖPINGS LÄN</t>
        </is>
      </c>
      <c r="G55" t="inlineStr">
        <is>
          <t>MULLSJÖ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26757-2024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46221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45529</v>
      </c>
      <c r="E57" s="1" t="n">
        <v>46221</v>
      </c>
      <c r="F57" t="inlineStr">
        <is>
          <t>JÖNKÖPINGS LÄN</t>
        </is>
      </c>
      <c r="G57" t="inlineStr">
        <is>
          <t>MULLSJÖ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46221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46221</v>
      </c>
      <c r="F59" t="inlineStr">
        <is>
          <t>JÖNKÖPINGS LÄN</t>
        </is>
      </c>
      <c r="G59" t="inlineStr">
        <is>
          <t>MULLSJÖ</t>
        </is>
      </c>
      <c r="I59" t="n">
        <v>14.1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46221</v>
      </c>
      <c r="F60" t="inlineStr">
        <is>
          <t>JÖNKÖPINGS LÄN</t>
        </is>
      </c>
      <c r="G60" t="inlineStr">
        <is>
          <t>MULLSJÖ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33875-2024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45521</v>
      </c>
      <c r="E61" s="1" t="n">
        <v>46221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57025-2022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46221</v>
      </c>
      <c r="F62" t="inlineStr">
        <is>
          <t>JÖNKÖPINGS LÄN</t>
        </is>
      </c>
      <c r="G62" t="inlineStr">
        <is>
          <t>MULLSJÖ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46221</v>
      </c>
      <c r="F63" t="inlineStr">
        <is>
          <t>JÖNKÖPINGS LÄN</t>
        </is>
      </c>
      <c r="G63" t="inlineStr">
        <is>
          <t>MULLSJÖ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57500-2022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44896</v>
      </c>
      <c r="E64" s="1" t="n">
        <v>46221</v>
      </c>
      <c r="F64" t="inlineStr">
        <is>
          <t>JÖNKÖPINGS LÄN</t>
        </is>
      </c>
      <c r="G64" t="inlineStr">
        <is>
          <t>MULLSJÖ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14226-2024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45393</v>
      </c>
      <c r="E65" s="1" t="n">
        <v>46221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28942-2025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46221</v>
      </c>
      <c r="F66" t="inlineStr">
        <is>
          <t>JÖNKÖPINGS LÄN</t>
        </is>
      </c>
      <c r="G66" t="inlineStr">
        <is>
          <t>MULLSJÖ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28941-2025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46221</v>
      </c>
      <c r="F67" t="inlineStr">
        <is>
          <t>JÖNKÖPINGS LÄN</t>
        </is>
      </c>
      <c r="G67" t="inlineStr">
        <is>
          <t>MULLSJÖ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46221</v>
      </c>
      <c r="F68" t="inlineStr">
        <is>
          <t>JÖNKÖPINGS LÄN</t>
        </is>
      </c>
      <c r="G68" t="inlineStr">
        <is>
          <t>MULLSJÖ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16349-2022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46221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39990-2024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45553</v>
      </c>
      <c r="E70" s="1" t="n">
        <v>46221</v>
      </c>
      <c r="F70" t="inlineStr">
        <is>
          <t>JÖNKÖPINGS LÄN</t>
        </is>
      </c>
      <c r="G70" t="inlineStr">
        <is>
          <t>MULLSJÖ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44656</v>
      </c>
      <c r="E71" s="1" t="n">
        <v>46221</v>
      </c>
      <c r="F71" t="inlineStr">
        <is>
          <t>JÖNKÖPINGS LÄN</t>
        </is>
      </c>
      <c r="G71" t="inlineStr">
        <is>
          <t>MULLSJÖ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42155-2025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45904</v>
      </c>
      <c r="E72" s="1" t="n">
        <v>46221</v>
      </c>
      <c r="F72" t="inlineStr">
        <is>
          <t>JÖNKÖPINGS LÄN</t>
        </is>
      </c>
      <c r="G72" t="inlineStr">
        <is>
          <t>MULLSJÖ</t>
        </is>
      </c>
      <c r="H72" t="inlineStr">
        <is>
          <t>Kyrkan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46221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21687-2022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44707</v>
      </c>
      <c r="E74" s="1" t="n">
        <v>46221</v>
      </c>
      <c r="F74" t="inlineStr">
        <is>
          <t>JÖNKÖPINGS LÄN</t>
        </is>
      </c>
      <c r="G74" t="inlineStr">
        <is>
          <t>MULLSJÖ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49733-2024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46221</v>
      </c>
      <c r="F75" t="inlineStr">
        <is>
          <t>JÖNKÖPINGS LÄN</t>
        </is>
      </c>
      <c r="G75" t="inlineStr">
        <is>
          <t>MULLSJÖ</t>
        </is>
      </c>
      <c r="I75" t="n">
        <v>15.1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58712-2023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46221</v>
      </c>
      <c r="F76" t="inlineStr">
        <is>
          <t>JÖNKÖPINGS LÄN</t>
        </is>
      </c>
      <c r="G76" t="inlineStr">
        <is>
          <t>MULLSJÖ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12273-2023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44998</v>
      </c>
      <c r="E77" s="1" t="n">
        <v>46221</v>
      </c>
      <c r="F77" t="inlineStr">
        <is>
          <t>JÖNKÖPINGS LÄN</t>
        </is>
      </c>
      <c r="G77" t="inlineStr">
        <is>
          <t>MULLSJÖ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46221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46221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46221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46221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48096-2025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46221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59503-2024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46221</v>
      </c>
      <c r="F83" t="inlineStr">
        <is>
          <t>JÖNKÖPINGS LÄN</t>
        </is>
      </c>
      <c r="G83" t="inlineStr">
        <is>
          <t>MULLSJÖ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46221</v>
      </c>
      <c r="F84" t="inlineStr">
        <is>
          <t>JÖNKÖPINGS LÄN</t>
        </is>
      </c>
      <c r="G84" t="inlineStr">
        <is>
          <t>MULLSJÖ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46221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37131-2025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46221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46221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46221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37424-2025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46221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46221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49734-2024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46221</v>
      </c>
      <c r="F91" t="inlineStr">
        <is>
          <t>JÖNKÖPINGS LÄN</t>
        </is>
      </c>
      <c r="G91" t="inlineStr">
        <is>
          <t>MULLSJÖ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46221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11220-2026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46080</v>
      </c>
      <c r="E93" s="1" t="n">
        <v>46221</v>
      </c>
      <c r="F93" t="inlineStr">
        <is>
          <t>JÖNKÖPINGS LÄN</t>
        </is>
      </c>
      <c r="G93" t="inlineStr">
        <is>
          <t>MULLSJÖ</t>
        </is>
      </c>
      <c r="H93" t="inlineStr">
        <is>
          <t>Kyrkan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16573-2025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45752</v>
      </c>
      <c r="E94" s="1" t="n">
        <v>46221</v>
      </c>
      <c r="F94" t="inlineStr">
        <is>
          <t>JÖNKÖPINGS LÄN</t>
        </is>
      </c>
      <c r="G94" t="inlineStr">
        <is>
          <t>MULLSJÖ</t>
        </is>
      </c>
      <c r="I94" t="n">
        <v>9.6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40960-2023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45169</v>
      </c>
      <c r="E95" s="1" t="n">
        <v>46221</v>
      </c>
      <c r="F95" t="inlineStr">
        <is>
          <t>JÖNKÖPINGS LÄN</t>
        </is>
      </c>
      <c r="G95" t="inlineStr">
        <is>
          <t>MULLSJÖ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57423-2023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46221</v>
      </c>
      <c r="F96" t="inlineStr">
        <is>
          <t>JÖNKÖPINGS LÄN</t>
        </is>
      </c>
      <c r="G96" t="inlineStr">
        <is>
          <t>MULLSJÖ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15189-2023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45016</v>
      </c>
      <c r="E97" s="1" t="n">
        <v>46221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46221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12351-2026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46088</v>
      </c>
      <c r="E99" s="1" t="n">
        <v>46221</v>
      </c>
      <c r="F99" t="inlineStr">
        <is>
          <t>JÖNKÖPINGS LÄN</t>
        </is>
      </c>
      <c r="G99" t="inlineStr">
        <is>
          <t>MULLSJÖ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50297-2022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46221</v>
      </c>
      <c r="F100" t="inlineStr">
        <is>
          <t>JÖNKÖPINGS LÄN</t>
        </is>
      </c>
      <c r="G100" t="inlineStr">
        <is>
          <t>MULLSJÖ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45752</v>
      </c>
      <c r="E101" s="1" t="n">
        <v>46221</v>
      </c>
      <c r="F101" t="inlineStr">
        <is>
          <t>JÖNKÖPINGS LÄN</t>
        </is>
      </c>
      <c r="G101" t="inlineStr">
        <is>
          <t>MULLSJÖ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16568-2025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46221</v>
      </c>
      <c r="F102" t="inlineStr">
        <is>
          <t>JÖNKÖPINGS LÄN</t>
        </is>
      </c>
      <c r="G102" t="inlineStr">
        <is>
          <t>MULLSJÖ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16570-2025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46221</v>
      </c>
      <c r="F103" t="inlineStr">
        <is>
          <t>JÖNKÖPINGS LÄN</t>
        </is>
      </c>
      <c r="G103" t="inlineStr">
        <is>
          <t>MULLSJÖ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30641-2024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45495</v>
      </c>
      <c r="E104" s="1" t="n">
        <v>46221</v>
      </c>
      <c r="F104" t="inlineStr">
        <is>
          <t>JÖNKÖPINGS LÄN</t>
        </is>
      </c>
      <c r="G104" t="inlineStr">
        <is>
          <t>MULLSJÖ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46221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46221</v>
      </c>
      <c r="F106" t="inlineStr">
        <is>
          <t>JÖNKÖPINGS LÄN</t>
        </is>
      </c>
      <c r="G106" t="inlineStr">
        <is>
          <t>MULLSJÖ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62956-2025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46221</v>
      </c>
      <c r="F107" t="inlineStr">
        <is>
          <t>JÖNKÖPINGS LÄN</t>
        </is>
      </c>
      <c r="G107" t="inlineStr">
        <is>
          <t>MULLSJÖ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15707-2025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46221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44954</v>
      </c>
      <c r="E109" s="1" t="n">
        <v>46221</v>
      </c>
      <c r="F109" t="inlineStr">
        <is>
          <t>JÖNKÖPINGS LÄN</t>
        </is>
      </c>
      <c r="G109" t="inlineStr">
        <is>
          <t>MULLSJÖ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11117-2023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46221</v>
      </c>
      <c r="F110" t="inlineStr">
        <is>
          <t>JÖNKÖPINGS LÄN</t>
        </is>
      </c>
      <c r="G110" t="inlineStr">
        <is>
          <t>MULLSJÖ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46221</v>
      </c>
      <c r="F111" t="inlineStr">
        <is>
          <t>JÖNKÖPINGS LÄN</t>
        </is>
      </c>
      <c r="G111" t="inlineStr">
        <is>
          <t>MULLSJÖ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15629-2026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46221</v>
      </c>
      <c r="F112" t="inlineStr">
        <is>
          <t>JÖNKÖPINGS LÄN</t>
        </is>
      </c>
      <c r="G112" t="inlineStr">
        <is>
          <t>MULLSJÖ</t>
        </is>
      </c>
      <c r="H112" t="inlineStr">
        <is>
          <t>Kyrkan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46221</v>
      </c>
      <c r="F113" t="inlineStr">
        <is>
          <t>JÖNKÖPINGS LÄN</t>
        </is>
      </c>
      <c r="G113" t="inlineStr">
        <is>
          <t>MULLSJÖ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35245-2023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46221</v>
      </c>
      <c r="F114" t="inlineStr">
        <is>
          <t>JÖNKÖPINGS LÄN</t>
        </is>
      </c>
      <c r="G114" t="inlineStr">
        <is>
          <t>MULLSJÖ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45305</v>
      </c>
      <c r="E115" s="1" t="n">
        <v>46221</v>
      </c>
      <c r="F115" t="inlineStr">
        <is>
          <t>JÖNKÖPINGS LÄN</t>
        </is>
      </c>
      <c r="G115" t="inlineStr">
        <is>
          <t>MULLSJÖ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46221</v>
      </c>
      <c r="F116" t="inlineStr">
        <is>
          <t>JÖNKÖPINGS LÄN</t>
        </is>
      </c>
      <c r="G116" t="inlineStr">
        <is>
          <t>MULLSJÖ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19107-2023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45048</v>
      </c>
      <c r="E117" s="1" t="n">
        <v>46221</v>
      </c>
      <c r="F117" t="inlineStr">
        <is>
          <t>JÖNKÖPINGS LÄN</t>
        </is>
      </c>
      <c r="G117" t="inlineStr">
        <is>
          <t>MULLSJÖ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18421-2026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46126</v>
      </c>
      <c r="E118" s="1" t="n">
        <v>46221</v>
      </c>
      <c r="F118" t="inlineStr">
        <is>
          <t>JÖNKÖPINGS LÄN</t>
        </is>
      </c>
      <c r="G118" t="inlineStr">
        <is>
          <t>MULLSJÖ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46221</v>
      </c>
      <c r="F119" t="inlineStr">
        <is>
          <t>JÖNKÖPINGS LÄN</t>
        </is>
      </c>
      <c r="G119" t="inlineStr">
        <is>
          <t>MULLSJÖ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37797-2024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46221</v>
      </c>
      <c r="F120" t="inlineStr">
        <is>
          <t>JÖNKÖPINGS LÄN</t>
        </is>
      </c>
      <c r="G120" t="inlineStr">
        <is>
          <t>MULLSJÖ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45543</v>
      </c>
      <c r="E121" s="1" t="n">
        <v>46221</v>
      </c>
      <c r="F121" t="inlineStr">
        <is>
          <t>JÖNKÖPINGS LÄN</t>
        </is>
      </c>
      <c r="G121" t="inlineStr">
        <is>
          <t>MULLSJÖ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16571-2025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46221</v>
      </c>
      <c r="F122" t="inlineStr">
        <is>
          <t>JÖNKÖPINGS LÄN</t>
        </is>
      </c>
      <c r="G122" t="inlineStr">
        <is>
          <t>MULLSJÖ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35244-2023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46221</v>
      </c>
      <c r="F123" t="inlineStr">
        <is>
          <t>JÖNKÖPINGS LÄN</t>
        </is>
      </c>
      <c r="G123" t="inlineStr">
        <is>
          <t>MULLSJÖ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44607</v>
      </c>
      <c r="E124" s="1" t="n">
        <v>46221</v>
      </c>
      <c r="F124" t="inlineStr">
        <is>
          <t>JÖNKÖPINGS LÄN</t>
        </is>
      </c>
      <c r="G124" t="inlineStr">
        <is>
          <t>MULLSJÖ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46221</v>
      </c>
      <c r="F125" t="inlineStr">
        <is>
          <t>JÖNKÖPINGS LÄN</t>
        </is>
      </c>
      <c r="G125" t="inlineStr">
        <is>
          <t>MULLSJÖ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46221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46221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46221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46221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46221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46221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46221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46221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45214</v>
      </c>
      <c r="E134" s="1" t="n">
        <v>46221</v>
      </c>
      <c r="F134" t="inlineStr">
        <is>
          <t>JÖNKÖPINGS LÄN</t>
        </is>
      </c>
      <c r="G134" t="inlineStr">
        <is>
          <t>MULLSJÖ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59332-2024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46221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16350-2022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46221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12423-2025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45730</v>
      </c>
      <c r="E137" s="1" t="n">
        <v>46221</v>
      </c>
      <c r="F137" t="inlineStr">
        <is>
          <t>JÖNKÖPINGS LÄN</t>
        </is>
      </c>
      <c r="G137" t="inlineStr">
        <is>
          <t>MULLSJÖ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46221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24566-2023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45083</v>
      </c>
      <c r="E139" s="1" t="n">
        <v>46221</v>
      </c>
      <c r="F139" t="inlineStr">
        <is>
          <t>JÖNKÖPINGS LÄN</t>
        </is>
      </c>
      <c r="G139" t="inlineStr">
        <is>
          <t>MULLSJÖ</t>
        </is>
      </c>
      <c r="I139" t="n">
        <v>13.1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45337</v>
      </c>
      <c r="E140" s="1" t="n">
        <v>46221</v>
      </c>
      <c r="F140" t="inlineStr">
        <is>
          <t>JÖNKÖPINGS LÄN</t>
        </is>
      </c>
      <c r="G140" t="inlineStr">
        <is>
          <t>MULLSJÖ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46221</v>
      </c>
      <c r="F141" t="inlineStr">
        <is>
          <t>JÖNKÖPINGS LÄN</t>
        </is>
      </c>
      <c r="G141" t="inlineStr">
        <is>
          <t>MULLSJÖ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11515-2024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45372</v>
      </c>
      <c r="E142" s="1" t="n">
        <v>46221</v>
      </c>
      <c r="F142" t="inlineStr">
        <is>
          <t>JÖNKÖPINGS LÄN</t>
        </is>
      </c>
      <c r="G142" t="inlineStr">
        <is>
          <t>MULLSJÖ</t>
        </is>
      </c>
      <c r="H142" t="inlineStr">
        <is>
          <t>Kyrkan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46221</v>
      </c>
      <c r="F143" t="inlineStr">
        <is>
          <t>JÖNKÖPINGS LÄN</t>
        </is>
      </c>
      <c r="G143" t="inlineStr">
        <is>
          <t>MULLSJÖ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6690-2023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46221</v>
      </c>
      <c r="F144" t="inlineStr">
        <is>
          <t>JÖNKÖPINGS LÄN</t>
        </is>
      </c>
      <c r="G144" t="inlineStr">
        <is>
          <t>MULLSJÖ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28791-2024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45478</v>
      </c>
      <c r="E145" s="1" t="n">
        <v>46221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46221</v>
      </c>
      <c r="F146" t="inlineStr">
        <is>
          <t>JÖNKÖPINGS LÄN</t>
        </is>
      </c>
      <c r="G146" t="inlineStr">
        <is>
          <t>MULLSJÖ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28517-2026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46221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28508-2026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46221</v>
      </c>
      <c r="F148" t="inlineStr">
        <is>
          <t>JÖNKÖPINGS LÄN</t>
        </is>
      </c>
      <c r="G148" t="inlineStr">
        <is>
          <t>MULLSJÖ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44954</v>
      </c>
      <c r="E149" s="1" t="n">
        <v>46221</v>
      </c>
      <c r="F149" t="inlineStr">
        <is>
          <t>JÖNKÖPINGS LÄN</t>
        </is>
      </c>
      <c r="G149" t="inlineStr">
        <is>
          <t>MULLSJÖ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11457-2023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46221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46221</v>
      </c>
      <c r="F151" t="inlineStr">
        <is>
          <t>JÖNKÖPINGS LÄN</t>
        </is>
      </c>
      <c r="G151" t="inlineStr">
        <is>
          <t>MULLSJÖ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23128-2024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45450</v>
      </c>
      <c r="E152" s="1" t="n">
        <v>46221</v>
      </c>
      <c r="F152" t="inlineStr">
        <is>
          <t>JÖNKÖPINGS LÄN</t>
        </is>
      </c>
      <c r="G152" t="inlineStr">
        <is>
          <t>MULLSJÖ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46221</v>
      </c>
      <c r="F153" t="inlineStr">
        <is>
          <t>JÖNKÖPINGS LÄN</t>
        </is>
      </c>
      <c r="G153" t="inlineStr">
        <is>
          <t>MULLSJÖ</t>
        </is>
      </c>
      <c r="H153" t="inlineStr">
        <is>
          <t>Kommuner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  <c r="X153">
        <f>HYPERLINK("https://klasma.github.io/Logging_0642/knärot/A 7181-2023 karta knärot.png", "A 7181-2023")</f>
        <v/>
      </c>
      <c r="Y153">
        <f>HYPERLINK("https://klasma.github.io/Logging_0642/klagomål/A 7181-2023 FSC-klagomål.docx", "A 7181-2023")</f>
        <v/>
      </c>
      <c r="Z153">
        <f>HYPERLINK("https://klasma.github.io/Logging_0642/klagomålsmail/A 7181-2023 FSC-klagomål mail.docx", "A 7181-2023")</f>
        <v/>
      </c>
      <c r="AA153">
        <f>HYPERLINK("https://klasma.github.io/Logging_0642/tillsyn/A 7181-2023 tillsynsbegäran.docx", "A 7181-2023")</f>
        <v/>
      </c>
      <c r="AB153">
        <f>HYPERLINK("https://klasma.github.io/Logging_0642/tillsynsmail/A 7181-2023 tillsynsbegäran mail.docx", "A 7181-2023")</f>
        <v/>
      </c>
    </row>
    <row r="154" ht="15" customHeight="1">
      <c r="A154" t="inlineStr">
        <is>
          <t>A 28605-2023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46221</v>
      </c>
      <c r="F154" t="inlineStr">
        <is>
          <t>JÖNKÖPINGS LÄN</t>
        </is>
      </c>
      <c r="G154" t="inlineStr">
        <is>
          <t>MULLSJÖ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71048-2021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44538</v>
      </c>
      <c r="E155" s="1" t="n">
        <v>46221</v>
      </c>
      <c r="F155" t="inlineStr">
        <is>
          <t>JÖNKÖPINGS LÄN</t>
        </is>
      </c>
      <c r="G155" t="inlineStr">
        <is>
          <t>MULLSJÖ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56876-2023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45244</v>
      </c>
      <c r="E156" s="1" t="n">
        <v>46221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23789-2024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45455</v>
      </c>
      <c r="E157" s="1" t="n">
        <v>46221</v>
      </c>
      <c r="F157" t="inlineStr">
        <is>
          <t>JÖNKÖPINGS LÄN</t>
        </is>
      </c>
      <c r="G157" t="inlineStr">
        <is>
          <t>MULLSJÖ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44954</v>
      </c>
      <c r="E158" s="1" t="n">
        <v>46221</v>
      </c>
      <c r="F158" t="inlineStr">
        <is>
          <t>JÖNKÖPINGS LÄN</t>
        </is>
      </c>
      <c r="G158" t="inlineStr">
        <is>
          <t>MULLSJÖ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46221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46221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46221</v>
      </c>
      <c r="F161" t="inlineStr">
        <is>
          <t>JÖNKÖPINGS LÄN</t>
        </is>
      </c>
      <c r="G161" t="inlineStr">
        <is>
          <t>MULLSJÖ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22270-2024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45446</v>
      </c>
      <c r="E162" s="1" t="n">
        <v>46221</v>
      </c>
      <c r="F162" t="inlineStr">
        <is>
          <t>JÖNKÖPINGS LÄN</t>
        </is>
      </c>
      <c r="G162" t="inlineStr">
        <is>
          <t>MULLSJÖ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31157-2026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46216</v>
      </c>
      <c r="E163" s="1" t="n">
        <v>46221</v>
      </c>
      <c r="F163" t="inlineStr">
        <is>
          <t>JÖNKÖPINGS LÄN</t>
        </is>
      </c>
      <c r="G163" t="inlineStr">
        <is>
          <t>MULLSJÖ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45676</v>
      </c>
      <c r="E164" s="1" t="n">
        <v>46221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46221</v>
      </c>
      <c r="F165" t="inlineStr">
        <is>
          <t>JÖNKÖPINGS LÄN</t>
        </is>
      </c>
      <c r="G165" t="inlineStr">
        <is>
          <t>MULLSJÖ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27549-2022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44742</v>
      </c>
      <c r="E166" s="1" t="n">
        <v>46221</v>
      </c>
      <c r="F166" t="inlineStr">
        <is>
          <t>JÖNKÖPINGS LÄN</t>
        </is>
      </c>
      <c r="G166" t="inlineStr">
        <is>
          <t>MULLSJÖ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46221</v>
      </c>
      <c r="F167" t="inlineStr">
        <is>
          <t>JÖNKÖPINGS LÄN</t>
        </is>
      </c>
      <c r="G167" t="inlineStr">
        <is>
          <t>MULLSJÖ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46221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46221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46221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46221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46221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46221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14033-2025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46221</v>
      </c>
      <c r="F174" t="inlineStr">
        <is>
          <t>JÖNKÖPINGS LÄN</t>
        </is>
      </c>
      <c r="G174" t="inlineStr">
        <is>
          <t>MULLSJÖ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24440-2025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46221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46221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14029-2025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45740</v>
      </c>
      <c r="E177" s="1" t="n">
        <v>46221</v>
      </c>
      <c r="F177" t="inlineStr">
        <is>
          <t>JÖNKÖPINGS LÄN</t>
        </is>
      </c>
      <c r="G177" t="inlineStr">
        <is>
          <t>MULLSJÖ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46221</v>
      </c>
      <c r="F178" t="inlineStr">
        <is>
          <t>JÖNKÖPINGS LÄN</t>
        </is>
      </c>
      <c r="G178" t="inlineStr">
        <is>
          <t>MULLSJÖ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46221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46221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46221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2026-07-18T01:20:23Z</dcterms:created>
  <dcterms:modified xmlns:dcterms="http://purl.org/dc/terms/" xmlns:xsi="http://www.w3.org/2001/XMLSchema-instance" xsi:type="dcterms:W3CDTF">2026-07-18T01:20:23Z</dcterms:modified>
</cp:coreProperties>
</file>