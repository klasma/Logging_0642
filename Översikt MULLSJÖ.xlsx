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46294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46294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46294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46294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46294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46294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46294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46294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46294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46294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46294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46294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46294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46294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55693-2025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45972</v>
      </c>
      <c r="E22" s="1" t="n">
        <v>46294</v>
      </c>
      <c r="F22" t="inlineStr">
        <is>
          <t>JÖNKÖPINGS LÄN</t>
        </is>
      </c>
      <c r="G22" t="inlineStr">
        <is>
          <t>MULLSJÖ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HYPERLINK("https://klasma.github.io/Logging_0642/artfynd/A 55693-2025 artfynd.xlsx", "A 55693-2025")</f>
        <v/>
      </c>
      <c r="X22">
        <f>HYPERLINK("https://klasma.github.io/Logging_0642/kartor/A 55693-2025 karta.png", "A 55693-2025")</f>
        <v/>
      </c>
      <c r="Y22">
        <f>HYPERLINK("https://klasma.github.io/Logging_0642/kartor_geotiff/A 55693-2025 georefererad karta.tif", "A 55693-2025")</f>
        <v/>
      </c>
      <c r="AA22">
        <f>HYPERLINK("https://klasma.github.io/Logging_0642/klagomål/A 55693-2025 FSC-klagomål.docx", "A 55693-2025")</f>
        <v/>
      </c>
      <c r="AB22">
        <f>HYPERLINK("https://klasma.github.io/Logging_0642/klagomålsmail/A 55693-2025 FSC-klagomål mail.docx", "A 55693-2025")</f>
        <v/>
      </c>
      <c r="AC22">
        <f>HYPERLINK("https://klasma.github.io/Logging_0642/tillsyn/A 55693-2025 tillsynsbegäran.docx", "A 55693-2025")</f>
        <v/>
      </c>
      <c r="AD22">
        <f>HYPERLINK("https://klasma.github.io/Logging_0642/tillsynsmail/A 55693-2025 tillsynsbegäran mail.docx", "A 55693-2025")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46294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46294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46294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46294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46294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46294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46294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46294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46294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46294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46294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46294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46294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46294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46294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46294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46294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46294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46294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46294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46294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46294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46294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46294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46294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46294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46294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46294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46294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46294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45484</v>
      </c>
      <c r="E53" s="1" t="n">
        <v>46294</v>
      </c>
      <c r="F53" t="inlineStr">
        <is>
          <t>JÖNKÖPINGS LÄN</t>
        </is>
      </c>
      <c r="G53" t="inlineStr">
        <is>
          <t>MULLSJÖ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46294</v>
      </c>
      <c r="F54" t="inlineStr">
        <is>
          <t>JÖNKÖPINGS LÄN</t>
        </is>
      </c>
      <c r="G54" t="inlineStr">
        <is>
          <t>MULLSJÖ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62586-2025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46007</v>
      </c>
      <c r="E55" s="1" t="n">
        <v>46294</v>
      </c>
      <c r="F55" t="inlineStr">
        <is>
          <t>JÖNKÖPINGS LÄN</t>
        </is>
      </c>
      <c r="G55" t="inlineStr">
        <is>
          <t>MULLSJÖ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46294</v>
      </c>
      <c r="F56" t="inlineStr">
        <is>
          <t>JÖNKÖPINGS LÄN</t>
        </is>
      </c>
      <c r="G56" t="inlineStr">
        <is>
          <t>MULLSJÖ</t>
        </is>
      </c>
      <c r="I56" t="n">
        <v>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46294</v>
      </c>
      <c r="F57" t="inlineStr">
        <is>
          <t>JÖNKÖPINGS LÄN</t>
        </is>
      </c>
      <c r="G57" t="inlineStr">
        <is>
          <t>MULLSJÖ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46294</v>
      </c>
      <c r="F58" t="inlineStr">
        <is>
          <t>JÖNKÖPINGS LÄN</t>
        </is>
      </c>
      <c r="G58" t="inlineStr">
        <is>
          <t>MULLSJÖ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46294</v>
      </c>
      <c r="F59" t="inlineStr">
        <is>
          <t>JÖNKÖPINGS LÄN</t>
        </is>
      </c>
      <c r="G59" t="inlineStr">
        <is>
          <t>MULLSJÖ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46294</v>
      </c>
      <c r="F60" t="inlineStr">
        <is>
          <t>JÖNKÖPINGS LÄN</t>
        </is>
      </c>
      <c r="G60" t="inlineStr">
        <is>
          <t>MULLSJÖ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46294</v>
      </c>
      <c r="F61" t="inlineStr">
        <is>
          <t>JÖNKÖPINGS LÄN</t>
        </is>
      </c>
      <c r="G61" t="inlineStr">
        <is>
          <t>MULLSJÖ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46294</v>
      </c>
      <c r="F62" t="inlineStr">
        <is>
          <t>JÖNKÖPINGS LÄN</t>
        </is>
      </c>
      <c r="G62" t="inlineStr">
        <is>
          <t>MULLSJÖ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45804</v>
      </c>
      <c r="E63" s="1" t="n">
        <v>46294</v>
      </c>
      <c r="F63" t="inlineStr">
        <is>
          <t>JÖNKÖPINGS LÄN</t>
        </is>
      </c>
      <c r="G63" t="inlineStr">
        <is>
          <t>MULLSJÖ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45521</v>
      </c>
      <c r="E64" s="1" t="n">
        <v>46294</v>
      </c>
      <c r="F64" t="inlineStr">
        <is>
          <t>JÖNKÖPINGS LÄN</t>
        </is>
      </c>
      <c r="G64" t="inlineStr">
        <is>
          <t>MULLSJÖ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46294</v>
      </c>
      <c r="F65" t="inlineStr">
        <is>
          <t>JÖNKÖPINGS LÄN</t>
        </is>
      </c>
      <c r="G65" t="inlineStr">
        <is>
          <t>MULLSJÖ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45904</v>
      </c>
      <c r="E66" s="1" t="n">
        <v>46294</v>
      </c>
      <c r="F66" t="inlineStr">
        <is>
          <t>JÖNKÖPINGS LÄN</t>
        </is>
      </c>
      <c r="G66" t="inlineStr">
        <is>
          <t>MULLSJÖ</t>
        </is>
      </c>
      <c r="H66" t="inlineStr">
        <is>
          <t>Kyrkan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46294</v>
      </c>
      <c r="F67" t="inlineStr">
        <is>
          <t>JÖNKÖPINGS LÄN</t>
        </is>
      </c>
      <c r="G67" t="inlineStr">
        <is>
          <t>MULLSJÖ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44966</v>
      </c>
      <c r="E68" s="1" t="n">
        <v>46294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46294</v>
      </c>
      <c r="F69" t="inlineStr">
        <is>
          <t>JÖNKÖPINGS LÄN</t>
        </is>
      </c>
      <c r="G69" t="inlineStr">
        <is>
          <t>MULLSJÖ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46294</v>
      </c>
      <c r="F70" t="inlineStr">
        <is>
          <t>JÖNKÖPINGS LÄN</t>
        </is>
      </c>
      <c r="G70" t="inlineStr">
        <is>
          <t>MULLSJÖ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15707-2025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45748</v>
      </c>
      <c r="E71" s="1" t="n">
        <v>46294</v>
      </c>
      <c r="F71" t="inlineStr">
        <is>
          <t>JÖNKÖPINGS LÄN</t>
        </is>
      </c>
      <c r="G71" t="inlineStr">
        <is>
          <t>MULLSJÖ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45169</v>
      </c>
      <c r="E72" s="1" t="n">
        <v>46294</v>
      </c>
      <c r="F72" t="inlineStr">
        <is>
          <t>JÖNKÖPINGS LÄN</t>
        </is>
      </c>
      <c r="G72" t="inlineStr">
        <is>
          <t>MULLSJÖ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45529</v>
      </c>
      <c r="E73" s="1" t="n">
        <v>46294</v>
      </c>
      <c r="F73" t="inlineStr">
        <is>
          <t>JÖNKÖPINGS LÄN</t>
        </is>
      </c>
      <c r="G73" t="inlineStr">
        <is>
          <t>MULLSJÖ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46294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46294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46294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46294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46294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45686</v>
      </c>
      <c r="E79" s="1" t="n">
        <v>46294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46294</v>
      </c>
      <c r="F80" t="inlineStr">
        <is>
          <t>JÖNKÖPINGS LÄN</t>
        </is>
      </c>
      <c r="G80" t="inlineStr">
        <is>
          <t>MULLSJÖ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45495</v>
      </c>
      <c r="E81" s="1" t="n">
        <v>46294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46294</v>
      </c>
      <c r="F82" t="inlineStr">
        <is>
          <t>JÖNKÖPINGS LÄN</t>
        </is>
      </c>
      <c r="G82" t="inlineStr">
        <is>
          <t>MULLSJÖ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44742</v>
      </c>
      <c r="E83" s="1" t="n">
        <v>46294</v>
      </c>
      <c r="F83" t="inlineStr">
        <is>
          <t>JÖNKÖPINGS LÄN</t>
        </is>
      </c>
      <c r="G83" t="inlineStr">
        <is>
          <t>MULLSJÖ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46294</v>
      </c>
      <c r="F84" t="inlineStr">
        <is>
          <t>JÖNKÖPINGS LÄN</t>
        </is>
      </c>
      <c r="G84" t="inlineStr">
        <is>
          <t>MULLSJÖ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46294</v>
      </c>
      <c r="F85" t="inlineStr">
        <is>
          <t>JÖNKÖPINGS LÄN</t>
        </is>
      </c>
      <c r="G85" t="inlineStr">
        <is>
          <t>MULLSJÖ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46294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46294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46294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46294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45048</v>
      </c>
      <c r="E90" s="1" t="n">
        <v>46294</v>
      </c>
      <c r="F90" t="inlineStr">
        <is>
          <t>JÖNKÖPINGS LÄN</t>
        </is>
      </c>
      <c r="G90" t="inlineStr">
        <is>
          <t>MULLSJÖ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46294</v>
      </c>
      <c r="F91" t="inlineStr">
        <is>
          <t>JÖNKÖPINGS LÄN</t>
        </is>
      </c>
      <c r="G91" t="inlineStr">
        <is>
          <t>MULLSJÖ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46294</v>
      </c>
      <c r="F92" t="inlineStr">
        <is>
          <t>JÖNKÖPINGS LÄN</t>
        </is>
      </c>
      <c r="G92" t="inlineStr">
        <is>
          <t>MULLSJÖ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46294</v>
      </c>
      <c r="F93" t="inlineStr">
        <is>
          <t>JÖNKÖPINGS LÄN</t>
        </is>
      </c>
      <c r="G93" t="inlineStr">
        <is>
          <t>MULLSJÖ</t>
        </is>
      </c>
      <c r="I93" t="n">
        <v>15.1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45553</v>
      </c>
      <c r="E94" s="1" t="n">
        <v>46294</v>
      </c>
      <c r="F94" t="inlineStr">
        <is>
          <t>JÖNKÖPINGS LÄN</t>
        </is>
      </c>
      <c r="G94" t="inlineStr">
        <is>
          <t>MULLSJÖ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14226-2024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45393</v>
      </c>
      <c r="E95" s="1" t="n">
        <v>46294</v>
      </c>
      <c r="F95" t="inlineStr">
        <is>
          <t>JÖNKÖPINGS LÄN</t>
        </is>
      </c>
      <c r="G95" t="inlineStr">
        <is>
          <t>MULLSJÖ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46294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45676</v>
      </c>
      <c r="E97" s="1" t="n">
        <v>46294</v>
      </c>
      <c r="F97" t="inlineStr">
        <is>
          <t>JÖNKÖPINGS LÄN</t>
        </is>
      </c>
      <c r="G97" t="inlineStr">
        <is>
          <t>MULLSJÖ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46294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12351-2026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46088</v>
      </c>
      <c r="E99" s="1" t="n">
        <v>46294</v>
      </c>
      <c r="F99" t="inlineStr">
        <is>
          <t>JÖNKÖPINGS LÄN</t>
        </is>
      </c>
      <c r="G99" t="inlineStr">
        <is>
          <t>MULLSJÖ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45446</v>
      </c>
      <c r="E100" s="1" t="n">
        <v>46294</v>
      </c>
      <c r="F100" t="inlineStr">
        <is>
          <t>JÖNKÖPINGS LÄN</t>
        </is>
      </c>
      <c r="G100" t="inlineStr">
        <is>
          <t>MULLSJÖ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46294</v>
      </c>
      <c r="F101" t="inlineStr">
        <is>
          <t>JÖNKÖPINGS LÄN</t>
        </is>
      </c>
      <c r="G101" t="inlineStr">
        <is>
          <t>MULLSJÖ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46294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45214</v>
      </c>
      <c r="E103" s="1" t="n">
        <v>46294</v>
      </c>
      <c r="F103" t="inlineStr">
        <is>
          <t>JÖNKÖPINGS LÄN</t>
        </is>
      </c>
      <c r="G103" t="inlineStr">
        <is>
          <t>MULLSJÖ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46294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46294</v>
      </c>
      <c r="F105" t="inlineStr">
        <is>
          <t>JÖNKÖPINGS LÄN</t>
        </is>
      </c>
      <c r="G105" t="inlineStr">
        <is>
          <t>MULLSJÖ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46294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46294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46294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46294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46294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46294</v>
      </c>
      <c r="F111" t="inlineStr">
        <is>
          <t>JÖNKÖPINGS LÄN</t>
        </is>
      </c>
      <c r="G111" t="inlineStr">
        <is>
          <t>MULLSJÖ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18421-2026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46126</v>
      </c>
      <c r="E112" s="1" t="n">
        <v>46294</v>
      </c>
      <c r="F112" t="inlineStr">
        <is>
          <t>JÖNKÖPINGS LÄN</t>
        </is>
      </c>
      <c r="G112" t="inlineStr">
        <is>
          <t>MULLSJÖ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46294</v>
      </c>
      <c r="F113" t="inlineStr">
        <is>
          <t>JÖNKÖPINGS LÄN</t>
        </is>
      </c>
      <c r="G113" t="inlineStr">
        <is>
          <t>MULLSJÖ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44977</v>
      </c>
      <c r="E114" s="1" t="n">
        <v>46294</v>
      </c>
      <c r="F114" t="inlineStr">
        <is>
          <t>JÖNKÖPINGS LÄN</t>
        </is>
      </c>
      <c r="G114" t="inlineStr">
        <is>
          <t>MULLSJÖ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45752</v>
      </c>
      <c r="E115" s="1" t="n">
        <v>46294</v>
      </c>
      <c r="F115" t="inlineStr">
        <is>
          <t>JÖNKÖPINGS LÄN</t>
        </is>
      </c>
      <c r="G115" t="inlineStr">
        <is>
          <t>MULLSJÖ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46294</v>
      </c>
      <c r="F116" t="inlineStr">
        <is>
          <t>JÖNKÖPINGS LÄN</t>
        </is>
      </c>
      <c r="G116" t="inlineStr">
        <is>
          <t>MULLSJÖ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46294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46294</v>
      </c>
      <c r="F118" t="inlineStr">
        <is>
          <t>JÖNKÖPINGS LÄN</t>
        </is>
      </c>
      <c r="G118" t="inlineStr">
        <is>
          <t>MULLSJÖ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46294</v>
      </c>
      <c r="F119" t="inlineStr">
        <is>
          <t>JÖNKÖPINGS LÄN</t>
        </is>
      </c>
      <c r="G119" t="inlineStr">
        <is>
          <t>MULLSJÖ</t>
        </is>
      </c>
      <c r="I119" t="n">
        <v>7.7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45730</v>
      </c>
      <c r="E120" s="1" t="n">
        <v>46294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46294</v>
      </c>
      <c r="F121" t="inlineStr">
        <is>
          <t>JÖNKÖPINGS LÄN</t>
        </is>
      </c>
      <c r="G121" t="inlineStr">
        <is>
          <t>MULLSJÖ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46294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45083</v>
      </c>
      <c r="E123" s="1" t="n">
        <v>46294</v>
      </c>
      <c r="F123" t="inlineStr">
        <is>
          <t>JÖNKÖPINGS LÄN</t>
        </is>
      </c>
      <c r="G123" t="inlineStr">
        <is>
          <t>MULLSJÖ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46294</v>
      </c>
      <c r="F124" t="inlineStr">
        <is>
          <t>JÖNKÖPINGS LÄN</t>
        </is>
      </c>
      <c r="G124" t="inlineStr">
        <is>
          <t>MULLSJÖ</t>
        </is>
      </c>
      <c r="H124" t="inlineStr">
        <is>
          <t>Kyrkan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46294</v>
      </c>
      <c r="F125" t="inlineStr">
        <is>
          <t>JÖNKÖPINGS LÄN</t>
        </is>
      </c>
      <c r="G125" t="inlineStr">
        <is>
          <t>MULLSJÖ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44970</v>
      </c>
      <c r="E126" s="1" t="n">
        <v>46294</v>
      </c>
      <c r="F126" t="inlineStr">
        <is>
          <t>JÖNKÖPINGS LÄN</t>
        </is>
      </c>
      <c r="G126" t="inlineStr">
        <is>
          <t>MULLSJÖ</t>
        </is>
      </c>
      <c r="H126" t="inlineStr">
        <is>
          <t>Kommuner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Z126">
        <f>HYPERLINK("https://klasma.github.io/Logging_0642/knärot/A 7181-2023 karta knärot.png", "A 7181-2023")</f>
        <v/>
      </c>
      <c r="AA126">
        <f>HYPERLINK("https://klasma.github.io/Logging_0642/klagomål/A 7181-2023 FSC-klagomål.docx", "A 7181-2023")</f>
        <v/>
      </c>
      <c r="AB126">
        <f>HYPERLINK("https://klasma.github.io/Logging_0642/klagomålsmail/A 7181-2023 FSC-klagomål mail.docx", "A 7181-2023")</f>
        <v/>
      </c>
      <c r="AC126">
        <f>HYPERLINK("https://klasma.github.io/Logging_0642/tillsyn/A 7181-2023 tillsynsbegäran.docx", "A 7181-2023")</f>
        <v/>
      </c>
      <c r="AD126">
        <f>HYPERLINK("https://klasma.github.io/Logging_0642/tillsynsmail/A 7181-2023 tillsynsbegäran mail.docx", "A 7181-2023")</f>
        <v/>
      </c>
    </row>
    <row r="127" ht="15" customHeight="1">
      <c r="A127" t="inlineStr">
        <is>
          <t>A 4355-2023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44954</v>
      </c>
      <c r="E127" s="1" t="n">
        <v>46294</v>
      </c>
      <c r="F127" t="inlineStr">
        <is>
          <t>JÖNKÖPINGS LÄN</t>
        </is>
      </c>
      <c r="G127" t="inlineStr">
        <is>
          <t>MULLSJÖ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45313</v>
      </c>
      <c r="E128" s="1" t="n">
        <v>46294</v>
      </c>
      <c r="F128" t="inlineStr">
        <is>
          <t>JÖNKÖPINGS LÄN</t>
        </is>
      </c>
      <c r="G128" t="inlineStr">
        <is>
          <t>MULLSJÖ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46294</v>
      </c>
      <c r="F129" t="inlineStr">
        <is>
          <t>JÖNKÖPINGS LÄN</t>
        </is>
      </c>
      <c r="G129" t="inlineStr">
        <is>
          <t>MULLSJÖ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46294</v>
      </c>
      <c r="F130" t="inlineStr">
        <is>
          <t>JÖNKÖPINGS LÄN</t>
        </is>
      </c>
      <c r="G130" t="inlineStr">
        <is>
          <t>MULLSJÖ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44895</v>
      </c>
      <c r="E131" s="1" t="n">
        <v>46294</v>
      </c>
      <c r="F131" t="inlineStr">
        <is>
          <t>JÖNKÖPINGS LÄN</t>
        </is>
      </c>
      <c r="G131" t="inlineStr">
        <is>
          <t>MULLSJÖ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45455</v>
      </c>
      <c r="E132" s="1" t="n">
        <v>46294</v>
      </c>
      <c r="F132" t="inlineStr">
        <is>
          <t>JÖNKÖPINGS LÄN</t>
        </is>
      </c>
      <c r="G132" t="inlineStr">
        <is>
          <t>MULLSJÖ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46294</v>
      </c>
      <c r="F133" t="inlineStr">
        <is>
          <t>JÖNKÖPINGS LÄN</t>
        </is>
      </c>
      <c r="G133" t="inlineStr">
        <is>
          <t>MULLSJÖ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46294</v>
      </c>
      <c r="F134" t="inlineStr">
        <is>
          <t>JÖNKÖPINGS LÄN</t>
        </is>
      </c>
      <c r="G134" t="inlineStr">
        <is>
          <t>MULLSJÖ</t>
        </is>
      </c>
      <c r="I134" t="n">
        <v>14.1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46294</v>
      </c>
      <c r="F135" t="inlineStr">
        <is>
          <t>JÖNKÖPINGS LÄN</t>
        </is>
      </c>
      <c r="G135" t="inlineStr">
        <is>
          <t>MULLSJÖ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44954</v>
      </c>
      <c r="E136" s="1" t="n">
        <v>46294</v>
      </c>
      <c r="F136" t="inlineStr">
        <is>
          <t>JÖNKÖPINGS LÄN</t>
        </is>
      </c>
      <c r="G136" t="inlineStr">
        <is>
          <t>MULLSJÖ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12273-2023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44998</v>
      </c>
      <c r="E137" s="1" t="n">
        <v>46294</v>
      </c>
      <c r="F137" t="inlineStr">
        <is>
          <t>JÖNKÖPINGS LÄN</t>
        </is>
      </c>
      <c r="G137" t="inlineStr">
        <is>
          <t>MULLSJÖ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46294</v>
      </c>
      <c r="F138" t="inlineStr">
        <is>
          <t>JÖNKÖPINGS LÄN</t>
        </is>
      </c>
      <c r="G138" t="inlineStr">
        <is>
          <t>MULLSJÖ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46294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56876-2023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45244</v>
      </c>
      <c r="E140" s="1" t="n">
        <v>46294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46294</v>
      </c>
      <c r="F141" t="inlineStr">
        <is>
          <t>JÖNKÖPINGS LÄN</t>
        </is>
      </c>
      <c r="G141" t="inlineStr">
        <is>
          <t>MULLSJÖ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46294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46294</v>
      </c>
      <c r="F143" t="inlineStr">
        <is>
          <t>JÖNKÖPINGS LÄN</t>
        </is>
      </c>
      <c r="G143" t="inlineStr">
        <is>
          <t>MULLSJÖ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44938</v>
      </c>
      <c r="E144" s="1" t="n">
        <v>46294</v>
      </c>
      <c r="F144" t="inlineStr">
        <is>
          <t>JÖNKÖPINGS LÄN</t>
        </is>
      </c>
      <c r="G144" t="inlineStr">
        <is>
          <t>MULLSJÖ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44796</v>
      </c>
      <c r="E145" s="1" t="n">
        <v>46294</v>
      </c>
      <c r="F145" t="inlineStr">
        <is>
          <t>JÖNKÖPINGS LÄN</t>
        </is>
      </c>
      <c r="G145" t="inlineStr">
        <is>
          <t>MULLSJÖ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44656</v>
      </c>
      <c r="E146" s="1" t="n">
        <v>46294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46294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46294</v>
      </c>
      <c r="F148" t="inlineStr">
        <is>
          <t>JÖNKÖPINGS LÄN</t>
        </is>
      </c>
      <c r="G148" t="inlineStr">
        <is>
          <t>MULLSJÖ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42872-2022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44832</v>
      </c>
      <c r="E149" s="1" t="n">
        <v>46294</v>
      </c>
      <c r="F149" t="inlineStr">
        <is>
          <t>JÖNKÖPINGS LÄN</t>
        </is>
      </c>
      <c r="G149" t="inlineStr">
        <is>
          <t>MULLSJÖ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46294</v>
      </c>
      <c r="F150" t="inlineStr">
        <is>
          <t>JÖNKÖPINGS LÄN</t>
        </is>
      </c>
      <c r="G150" t="inlineStr">
        <is>
          <t>MULLSJÖ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46294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46216</v>
      </c>
      <c r="E152" s="1" t="n">
        <v>46294</v>
      </c>
      <c r="F152" t="inlineStr">
        <is>
          <t>JÖNKÖPINGS LÄN</t>
        </is>
      </c>
      <c r="G152" t="inlineStr">
        <is>
          <t>MULLSJÖ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46216</v>
      </c>
      <c r="E153" s="1" t="n">
        <v>46294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46294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46294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35115-2026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46294</v>
      </c>
      <c r="F156" t="inlineStr">
        <is>
          <t>JÖNKÖPINGS LÄN</t>
        </is>
      </c>
      <c r="G156" t="inlineStr">
        <is>
          <t>MULLSJÖ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46294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46294</v>
      </c>
      <c r="F158" t="inlineStr">
        <is>
          <t>JÖNKÖPINGS LÄN</t>
        </is>
      </c>
      <c r="G158" t="inlineStr">
        <is>
          <t>MULLSJÖ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46294</v>
      </c>
      <c r="F159" t="inlineStr">
        <is>
          <t>JÖNKÖPINGS LÄN</t>
        </is>
      </c>
      <c r="G159" t="inlineStr">
        <is>
          <t>MULLSJÖ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46268</v>
      </c>
      <c r="E160" s="1" t="n">
        <v>46294</v>
      </c>
      <c r="F160" t="inlineStr">
        <is>
          <t>JÖNKÖPINGS LÄN</t>
        </is>
      </c>
      <c r="G160" t="inlineStr">
        <is>
          <t>MULLSJÖ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36414-2026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46268</v>
      </c>
      <c r="E161" s="1" t="n">
        <v>46294</v>
      </c>
      <c r="F161" t="inlineStr">
        <is>
          <t>JÖNKÖPINGS LÄN</t>
        </is>
      </c>
      <c r="G161" t="inlineStr">
        <is>
          <t>MULLSJÖ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45450</v>
      </c>
      <c r="E162" s="1" t="n">
        <v>46294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46294</v>
      </c>
      <c r="F163" t="inlineStr">
        <is>
          <t>JÖNKÖPINGS LÄN</t>
        </is>
      </c>
      <c r="G163" t="inlineStr">
        <is>
          <t>MULLSJÖ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46294</v>
      </c>
      <c r="F164" t="inlineStr">
        <is>
          <t>JÖNKÖPINGS LÄN</t>
        </is>
      </c>
      <c r="G164" t="inlineStr">
        <is>
          <t>MULLSJÖ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45752</v>
      </c>
      <c r="E165" s="1" t="n">
        <v>46294</v>
      </c>
      <c r="F165" t="inlineStr">
        <is>
          <t>JÖNKÖPINGS LÄN</t>
        </is>
      </c>
      <c r="G165" t="inlineStr">
        <is>
          <t>MULLSJÖ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46294</v>
      </c>
      <c r="F166" t="inlineStr">
        <is>
          <t>JÖNKÖPINGS LÄN</t>
        </is>
      </c>
      <c r="G166" t="inlineStr">
        <is>
          <t>MULLSJÖ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44670</v>
      </c>
      <c r="E167" s="1" t="n">
        <v>46294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46232</v>
      </c>
      <c r="E168" s="1" t="n">
        <v>46294</v>
      </c>
      <c r="F168" t="inlineStr">
        <is>
          <t>JÖNKÖPINGS LÄN</t>
        </is>
      </c>
      <c r="G168" t="inlineStr">
        <is>
          <t>MULLSJÖ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46294</v>
      </c>
      <c r="F169" t="inlineStr">
        <is>
          <t>JÖNKÖPINGS LÄN</t>
        </is>
      </c>
      <c r="G169" t="inlineStr">
        <is>
          <t>MULLSJÖ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46294</v>
      </c>
      <c r="F170" t="inlineStr">
        <is>
          <t>JÖNKÖPINGS LÄN</t>
        </is>
      </c>
      <c r="G170" t="inlineStr">
        <is>
          <t>MULLSJÖ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37124-2026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46274</v>
      </c>
      <c r="E171" s="1" t="n">
        <v>46294</v>
      </c>
      <c r="F171" t="inlineStr">
        <is>
          <t>JÖNKÖPINGS LÄN</t>
        </is>
      </c>
      <c r="G171" t="inlineStr">
        <is>
          <t>MULLSJÖ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64387-2023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45280</v>
      </c>
      <c r="E172" s="1" t="n">
        <v>46294</v>
      </c>
      <c r="F172" t="inlineStr">
        <is>
          <t>JÖNKÖPINGS LÄN</t>
        </is>
      </c>
      <c r="G172" t="inlineStr">
        <is>
          <t>MULLSJÖ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46294</v>
      </c>
      <c r="F173" t="inlineStr">
        <is>
          <t>JÖNKÖPINGS LÄN</t>
        </is>
      </c>
      <c r="G173" t="inlineStr">
        <is>
          <t>MULLSJÖ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32702-2026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46240</v>
      </c>
      <c r="E174" s="1" t="n">
        <v>46294</v>
      </c>
      <c r="F174" t="inlineStr">
        <is>
          <t>JÖNKÖPINGS LÄN</t>
        </is>
      </c>
      <c r="G174" t="inlineStr">
        <is>
          <t>MULLSJÖ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46294</v>
      </c>
      <c r="F175" t="inlineStr">
        <is>
          <t>JÖNKÖPINGS LÄN</t>
        </is>
      </c>
      <c r="G175" t="inlineStr">
        <is>
          <t>MULLSJÖ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46294</v>
      </c>
      <c r="F176" t="inlineStr">
        <is>
          <t>JÖNKÖPINGS LÄN</t>
        </is>
      </c>
      <c r="G176" t="inlineStr">
        <is>
          <t>MULLSJÖ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46294</v>
      </c>
      <c r="F177" t="inlineStr">
        <is>
          <t>JÖNKÖPINGS LÄN</t>
        </is>
      </c>
      <c r="G177" t="inlineStr">
        <is>
          <t>MULLSJÖ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46294</v>
      </c>
      <c r="F178" t="inlineStr">
        <is>
          <t>JÖNKÖPINGS LÄN</t>
        </is>
      </c>
      <c r="G178" t="inlineStr">
        <is>
          <t>MULLSJÖ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46293</v>
      </c>
      <c r="E179" s="1" t="n">
        <v>46294</v>
      </c>
      <c r="F179" t="inlineStr">
        <is>
          <t>JÖNKÖPINGS LÄN</t>
        </is>
      </c>
      <c r="G179" t="inlineStr">
        <is>
          <t>MULLSJÖ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46294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46294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46294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2026-09-29T01:58:30Z</dcterms:created>
  <dcterms:modified xmlns:dcterms="http://purl.org/dc/terms/" xmlns:xsi="http://www.w3.org/2001/XMLSchema-instance" xsi:type="dcterms:W3CDTF">2026-09-29T01:58:31Z</dcterms:modified>
</cp:coreProperties>
</file>