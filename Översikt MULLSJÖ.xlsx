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45839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45839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45839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45839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45839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45839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45839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45839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45839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45839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45839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45839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45839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45839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45839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45839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45839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31093-2025</t>
        </is>
      </c>
      <c r="B19" s="1" t="n">
        <v>45832</v>
      </c>
      <c r="C19" s="1" t="n">
        <v>45839</v>
      </c>
      <c r="D19" t="inlineStr">
        <is>
          <t>JÖNKÖPINGS LÄN</t>
        </is>
      </c>
      <c r="E19" t="inlineStr">
        <is>
          <t>MULLSJÖ</t>
        </is>
      </c>
      <c r="G19" t="n">
        <v>8.199999999999999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HYPERLINK("https://klasma.github.io/Logging_060642/artfynd/A 31093-2025 artfynd.xlsx", "A 31093-2025")</f>
        <v/>
      </c>
      <c r="T19">
        <f>HYPERLINK("https://klasma.github.io/Logging_060642/kartor/A 31093-2025 karta.png", "A 31093-2025")</f>
        <v/>
      </c>
      <c r="V19">
        <f>HYPERLINK("https://klasma.github.io/Logging_060642/klagomål/A 31093-2025 FSC-klagomål.docx", "A 31093-2025")</f>
        <v/>
      </c>
      <c r="W19">
        <f>HYPERLINK("https://klasma.github.io/Logging_060642/klagomålsmail/A 31093-2025 FSC-klagomål mail.docx", "A 31093-2025")</f>
        <v/>
      </c>
      <c r="X19">
        <f>HYPERLINK("https://klasma.github.io/Logging_060642/tillsyn/A 31093-2025 tillsynsbegäran.docx", "A 31093-2025")</f>
        <v/>
      </c>
      <c r="Y19">
        <f>HYPERLINK("https://klasma.github.io/Logging_060642/tillsynsmail/A 31093-2025 tillsynsbegäran mail.docx", "A 31093-2025")</f>
        <v/>
      </c>
    </row>
    <row r="20" ht="15" customHeight="1">
      <c r="A20" t="inlineStr">
        <is>
          <t>A 33226-2019</t>
        </is>
      </c>
      <c r="B20" s="1" t="n">
        <v>43650</v>
      </c>
      <c r="C20" s="1" t="n">
        <v>45839</v>
      </c>
      <c r="D20" t="inlineStr">
        <is>
          <t>JÖNKÖPINGS LÄN</t>
        </is>
      </c>
      <c r="E20" t="inlineStr">
        <is>
          <t>MULLSJÖ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33770-2019</t>
        </is>
      </c>
      <c r="B21" s="1" t="n">
        <v>43651</v>
      </c>
      <c r="C21" s="1" t="n">
        <v>45839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33775-2019</t>
        </is>
      </c>
      <c r="B22" s="1" t="n">
        <v>43651</v>
      </c>
      <c r="C22" s="1" t="n">
        <v>45839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34064-2019</t>
        </is>
      </c>
      <c r="B23" s="1" t="n">
        <v>43654</v>
      </c>
      <c r="C23" s="1" t="n">
        <v>45839</v>
      </c>
      <c r="D23" t="inlineStr">
        <is>
          <t>JÖNKÖPINGS LÄN</t>
        </is>
      </c>
      <c r="E23" t="inlineStr">
        <is>
          <t>MULLSJÖ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34193-2019</t>
        </is>
      </c>
      <c r="B24" s="1" t="n">
        <v>43655</v>
      </c>
      <c r="C24" s="1" t="n">
        <v>45839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34399-2019</t>
        </is>
      </c>
      <c r="B25" s="1" t="n">
        <v>43656</v>
      </c>
      <c r="C25" s="1" t="n">
        <v>45839</v>
      </c>
      <c r="D25" t="inlineStr">
        <is>
          <t>JÖNKÖPINGS LÄN</t>
        </is>
      </c>
      <c r="E25" t="inlineStr">
        <is>
          <t>MULLSJÖ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34507-2019</t>
        </is>
      </c>
      <c r="B26" s="1" t="n">
        <v>43657</v>
      </c>
      <c r="C26" s="1" t="n">
        <v>45839</v>
      </c>
      <c r="D26" t="inlineStr">
        <is>
          <t>JÖNKÖPINGS LÄN</t>
        </is>
      </c>
      <c r="E26" t="inlineStr">
        <is>
          <t>MULLSJÖ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34510-2019</t>
        </is>
      </c>
      <c r="B27" s="1" t="n">
        <v>43657</v>
      </c>
      <c r="C27" s="1" t="n">
        <v>45839</v>
      </c>
      <c r="D27" t="inlineStr">
        <is>
          <t>JÖNKÖPINGS LÄN</t>
        </is>
      </c>
      <c r="E27" t="inlineStr">
        <is>
          <t>MULLSJÖ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36799-2019</t>
        </is>
      </c>
      <c r="B28" s="1" t="n">
        <v>43672</v>
      </c>
      <c r="C28" s="1" t="n">
        <v>45839</v>
      </c>
      <c r="D28" t="inlineStr">
        <is>
          <t>JÖNKÖPINGS LÄN</t>
        </is>
      </c>
      <c r="E28" t="inlineStr">
        <is>
          <t>MULLSJÖ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40804-2019</t>
        </is>
      </c>
      <c r="B29" s="1" t="n">
        <v>43697</v>
      </c>
      <c r="C29" s="1" t="n">
        <v>45839</v>
      </c>
      <c r="D29" t="inlineStr">
        <is>
          <t>JÖNKÖPINGS LÄN</t>
        </is>
      </c>
      <c r="E29" t="inlineStr">
        <is>
          <t>MULLSJÖ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41428-2019</t>
        </is>
      </c>
      <c r="B30" s="1" t="n">
        <v>43698</v>
      </c>
      <c r="C30" s="1" t="n">
        <v>45839</v>
      </c>
      <c r="D30" t="inlineStr">
        <is>
          <t>JÖNKÖPINGS LÄN</t>
        </is>
      </c>
      <c r="E30" t="inlineStr">
        <is>
          <t>MULLSJÖ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46316-2019</t>
        </is>
      </c>
      <c r="B31" s="1" t="n">
        <v>43718</v>
      </c>
      <c r="C31" s="1" t="n">
        <v>45839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47707-2019</t>
        </is>
      </c>
      <c r="B32" s="1" t="n">
        <v>43724</v>
      </c>
      <c r="C32" s="1" t="n">
        <v>45839</v>
      </c>
      <c r="D32" t="inlineStr">
        <is>
          <t>JÖNKÖPINGS LÄN</t>
        </is>
      </c>
      <c r="E32" t="inlineStr">
        <is>
          <t>MULLSJÖ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260-2020</t>
        </is>
      </c>
      <c r="B33" s="1" t="n">
        <v>43836</v>
      </c>
      <c r="C33" s="1" t="n">
        <v>45839</v>
      </c>
      <c r="D33" t="inlineStr">
        <is>
          <t>JÖNKÖPINGS LÄN</t>
        </is>
      </c>
      <c r="E33" t="inlineStr">
        <is>
          <t>MULLSJÖ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31697-2020</t>
        </is>
      </c>
      <c r="B34" s="1" t="n">
        <v>44014</v>
      </c>
      <c r="C34" s="1" t="n">
        <v>45839</v>
      </c>
      <c r="D34" t="inlineStr">
        <is>
          <t>JÖNKÖPINGS LÄN</t>
        </is>
      </c>
      <c r="E34" t="inlineStr">
        <is>
          <t>MULLSJÖ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44266-2020</t>
        </is>
      </c>
      <c r="B35" s="1" t="n">
        <v>44084</v>
      </c>
      <c r="C35" s="1" t="n">
        <v>45839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44279-2020</t>
        </is>
      </c>
      <c r="B36" s="1" t="n">
        <v>44084</v>
      </c>
      <c r="C36" s="1" t="n">
        <v>45839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44488-2020</t>
        </is>
      </c>
      <c r="B37" s="1" t="n">
        <v>44084</v>
      </c>
      <c r="C37" s="1" t="n">
        <v>45839</v>
      </c>
      <c r="D37" t="inlineStr">
        <is>
          <t>JÖNKÖPINGS LÄN</t>
        </is>
      </c>
      <c r="E37" t="inlineStr">
        <is>
          <t>MULLSJÖ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44888-2020</t>
        </is>
      </c>
      <c r="B38" s="1" t="n">
        <v>44088</v>
      </c>
      <c r="C38" s="1" t="n">
        <v>45839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46746-2020</t>
        </is>
      </c>
      <c r="B39" s="1" t="n">
        <v>44095</v>
      </c>
      <c r="C39" s="1" t="n">
        <v>45839</v>
      </c>
      <c r="D39" t="inlineStr">
        <is>
          <t>JÖNKÖPINGS LÄN</t>
        </is>
      </c>
      <c r="E39" t="inlineStr">
        <is>
          <t>MULLSJÖ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46747-2020</t>
        </is>
      </c>
      <c r="B40" s="1" t="n">
        <v>44095</v>
      </c>
      <c r="C40" s="1" t="n">
        <v>45839</v>
      </c>
      <c r="D40" t="inlineStr">
        <is>
          <t>JÖNKÖPINGS LÄN</t>
        </is>
      </c>
      <c r="E40" t="inlineStr">
        <is>
          <t>MULLSJÖ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57424-2020</t>
        </is>
      </c>
      <c r="B41" s="1" t="n">
        <v>44140</v>
      </c>
      <c r="C41" s="1" t="n">
        <v>45839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45839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64865-2020</t>
        </is>
      </c>
      <c r="B43" s="1" t="n">
        <v>44171</v>
      </c>
      <c r="C43" s="1" t="n">
        <v>45839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64867-2020</t>
        </is>
      </c>
      <c r="B44" s="1" t="n">
        <v>44171</v>
      </c>
      <c r="C44" s="1" t="n">
        <v>45839</v>
      </c>
      <c r="D44" t="inlineStr">
        <is>
          <t>JÖNKÖPINGS LÄN</t>
        </is>
      </c>
      <c r="E44" t="inlineStr">
        <is>
          <t>MULLSJÖ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68837-2020</t>
        </is>
      </c>
      <c r="B45" s="1" t="n">
        <v>44187</v>
      </c>
      <c r="C45" s="1" t="n">
        <v>45839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1371-2021</t>
        </is>
      </c>
      <c r="B46" s="1" t="n">
        <v>44208</v>
      </c>
      <c r="C46" s="1" t="n">
        <v>45839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6980-2021</t>
        </is>
      </c>
      <c r="B47" s="1" t="n">
        <v>44237</v>
      </c>
      <c r="C47" s="1" t="n">
        <v>45839</v>
      </c>
      <c r="D47" t="inlineStr">
        <is>
          <t>JÖNKÖPINGS LÄN</t>
        </is>
      </c>
      <c r="E47" t="inlineStr">
        <is>
          <t>MULLSJÖ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7176-2021</t>
        </is>
      </c>
      <c r="B48" s="1" t="n">
        <v>44238</v>
      </c>
      <c r="C48" s="1" t="n">
        <v>45839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7174-2021</t>
        </is>
      </c>
      <c r="B49" s="1" t="n">
        <v>44238</v>
      </c>
      <c r="C49" s="1" t="n">
        <v>45839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11075-2021</t>
        </is>
      </c>
      <c r="B50" s="1" t="n">
        <v>44260</v>
      </c>
      <c r="C50" s="1" t="n">
        <v>45839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13099-2021</t>
        </is>
      </c>
      <c r="B51" s="1" t="n">
        <v>44272</v>
      </c>
      <c r="C51" s="1" t="n">
        <v>45839</v>
      </c>
      <c r="D51" t="inlineStr">
        <is>
          <t>JÖNKÖPINGS LÄN</t>
        </is>
      </c>
      <c r="E51" t="inlineStr">
        <is>
          <t>MULLSJÖ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13101-2021</t>
        </is>
      </c>
      <c r="B52" s="1" t="n">
        <v>44272</v>
      </c>
      <c r="C52" s="1" t="n">
        <v>45839</v>
      </c>
      <c r="D52" t="inlineStr">
        <is>
          <t>JÖNKÖPINGS LÄN</t>
        </is>
      </c>
      <c r="E52" t="inlineStr">
        <is>
          <t>MULLSJÖ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13095-2021</t>
        </is>
      </c>
      <c r="B53" s="1" t="n">
        <v>44272</v>
      </c>
      <c r="C53" s="1" t="n">
        <v>45839</v>
      </c>
      <c r="D53" t="inlineStr">
        <is>
          <t>JÖNKÖPINGS LÄN</t>
        </is>
      </c>
      <c r="E53" t="inlineStr">
        <is>
          <t>MULLSJÖ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15468-2021</t>
        </is>
      </c>
      <c r="B54" s="1" t="n">
        <v>44285</v>
      </c>
      <c r="C54" s="1" t="n">
        <v>45839</v>
      </c>
      <c r="D54" t="inlineStr">
        <is>
          <t>JÖNKÖPINGS LÄN</t>
        </is>
      </c>
      <c r="E54" t="inlineStr">
        <is>
          <t>MULLSJÖ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22110-2021</t>
        </is>
      </c>
      <c r="B55" s="1" t="n">
        <v>44323</v>
      </c>
      <c r="C55" s="1" t="n">
        <v>45839</v>
      </c>
      <c r="D55" t="inlineStr">
        <is>
          <t>JÖNKÖPINGS LÄN</t>
        </is>
      </c>
      <c r="E55" t="inlineStr">
        <is>
          <t>MULLSJÖ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24816-2021</t>
        </is>
      </c>
      <c r="B56" s="1" t="n">
        <v>44340</v>
      </c>
      <c r="C56" s="1" t="n">
        <v>45839</v>
      </c>
      <c r="D56" t="inlineStr">
        <is>
          <t>JÖNKÖPINGS LÄN</t>
        </is>
      </c>
      <c r="E56" t="inlineStr">
        <is>
          <t>MULLSJÖ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24817-2021</t>
        </is>
      </c>
      <c r="B57" s="1" t="n">
        <v>44340</v>
      </c>
      <c r="C57" s="1" t="n">
        <v>45839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32880-2021</t>
        </is>
      </c>
      <c r="B58" s="1" t="n">
        <v>44375</v>
      </c>
      <c r="C58" s="1" t="n">
        <v>45839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36580-2021</t>
        </is>
      </c>
      <c r="B59" s="1" t="n">
        <v>44391</v>
      </c>
      <c r="C59" s="1" t="n">
        <v>45839</v>
      </c>
      <c r="D59" t="inlineStr">
        <is>
          <t>JÖNKÖPINGS LÄN</t>
        </is>
      </c>
      <c r="E59" t="inlineStr">
        <is>
          <t>MULLSJÖ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38996-2021</t>
        </is>
      </c>
      <c r="B60" s="1" t="n">
        <v>44412</v>
      </c>
      <c r="C60" s="1" t="n">
        <v>45839</v>
      </c>
      <c r="D60" t="inlineStr">
        <is>
          <t>JÖNKÖPINGS LÄN</t>
        </is>
      </c>
      <c r="E60" t="inlineStr">
        <is>
          <t>MULLSJÖ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40267-2021</t>
        </is>
      </c>
      <c r="B61" s="1" t="n">
        <v>44419</v>
      </c>
      <c r="C61" s="1" t="n">
        <v>45839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40869-2021</t>
        </is>
      </c>
      <c r="B62" s="1" t="n">
        <v>44421</v>
      </c>
      <c r="C62" s="1" t="n">
        <v>45839</v>
      </c>
      <c r="D62" t="inlineStr">
        <is>
          <t>JÖNKÖPINGS LÄN</t>
        </is>
      </c>
      <c r="E62" t="inlineStr">
        <is>
          <t>MULLSJÖ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42852-2021</t>
        </is>
      </c>
      <c r="B63" s="1" t="n">
        <v>44430</v>
      </c>
      <c r="C63" s="1" t="n">
        <v>45839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43594-2021</t>
        </is>
      </c>
      <c r="B64" s="1" t="n">
        <v>44433</v>
      </c>
      <c r="C64" s="1" t="n">
        <v>45839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50161-2021</t>
        </is>
      </c>
      <c r="B65" s="1" t="n">
        <v>44456</v>
      </c>
      <c r="C65" s="1" t="n">
        <v>45839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53664-2021</t>
        </is>
      </c>
      <c r="B66" s="1" t="n">
        <v>44469</v>
      </c>
      <c r="C66" s="1" t="n">
        <v>45839</v>
      </c>
      <c r="D66" t="inlineStr">
        <is>
          <t>JÖNKÖPINGS LÄN</t>
        </is>
      </c>
      <c r="E66" t="inlineStr">
        <is>
          <t>MULLSJÖ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55888-2021</t>
        </is>
      </c>
      <c r="B67" s="1" t="n">
        <v>44476</v>
      </c>
      <c r="C67" s="1" t="n">
        <v>45839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55897-2021</t>
        </is>
      </c>
      <c r="B68" s="1" t="n">
        <v>44476</v>
      </c>
      <c r="C68" s="1" t="n">
        <v>45839</v>
      </c>
      <c r="D68" t="inlineStr">
        <is>
          <t>JÖNKÖPINGS LÄN</t>
        </is>
      </c>
      <c r="E68" t="inlineStr">
        <is>
          <t>MULLSJÖ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55896-2021</t>
        </is>
      </c>
      <c r="B69" s="1" t="n">
        <v>44476</v>
      </c>
      <c r="C69" s="1" t="n">
        <v>45839</v>
      </c>
      <c r="D69" t="inlineStr">
        <is>
          <t>JÖNKÖPINGS LÄN</t>
        </is>
      </c>
      <c r="E69" t="inlineStr">
        <is>
          <t>MULLSJÖ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57229-2021</t>
        </is>
      </c>
      <c r="B70" s="1" t="n">
        <v>44483</v>
      </c>
      <c r="C70" s="1" t="n">
        <v>45839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62452-2021</t>
        </is>
      </c>
      <c r="B71" s="1" t="n">
        <v>44503</v>
      </c>
      <c r="C71" s="1" t="n">
        <v>45839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65495-2021</t>
        </is>
      </c>
      <c r="B72" s="1" t="n">
        <v>44516</v>
      </c>
      <c r="C72" s="1" t="n">
        <v>45839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65493-2021</t>
        </is>
      </c>
      <c r="B73" s="1" t="n">
        <v>44516</v>
      </c>
      <c r="C73" s="1" t="n">
        <v>45839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71048-2021</t>
        </is>
      </c>
      <c r="B74" s="1" t="n">
        <v>44538</v>
      </c>
      <c r="C74" s="1" t="n">
        <v>45839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4957-2022</t>
        </is>
      </c>
      <c r="B75" s="1" t="n">
        <v>44593</v>
      </c>
      <c r="C75" s="1" t="n">
        <v>45839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7654-2022</t>
        </is>
      </c>
      <c r="B76" s="1" t="n">
        <v>44607</v>
      </c>
      <c r="C76" s="1" t="n">
        <v>45839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9903-2022</t>
        </is>
      </c>
      <c r="B77" s="1" t="n">
        <v>44620</v>
      </c>
      <c r="C77" s="1" t="n">
        <v>45839</v>
      </c>
      <c r="D77" t="inlineStr">
        <is>
          <t>JÖNKÖPINGS LÄN</t>
        </is>
      </c>
      <c r="E77" t="inlineStr">
        <is>
          <t>MULLSJÖ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13811-2022</t>
        </is>
      </c>
      <c r="B78" s="1" t="n">
        <v>44649</v>
      </c>
      <c r="C78" s="1" t="n">
        <v>45839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14742-2022</t>
        </is>
      </c>
      <c r="B79" s="1" t="n">
        <v>44656</v>
      </c>
      <c r="C79" s="1" t="n">
        <v>45839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14740-2022</t>
        </is>
      </c>
      <c r="B80" s="1" t="n">
        <v>44656</v>
      </c>
      <c r="C80" s="1" t="n">
        <v>45839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14745-2022</t>
        </is>
      </c>
      <c r="B81" s="1" t="n">
        <v>44656</v>
      </c>
      <c r="C81" s="1" t="n">
        <v>45839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</v>
      </c>
      <c r="C82" s="1" t="n">
        <v>45839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45839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16133-2022</t>
        </is>
      </c>
      <c r="B84" s="1" t="n">
        <v>44665</v>
      </c>
      <c r="C84" s="1" t="n">
        <v>45839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16350-2022</t>
        </is>
      </c>
      <c r="B85" s="1" t="n">
        <v>44670</v>
      </c>
      <c r="C85" s="1" t="n">
        <v>45839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45839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17822-2022</t>
        </is>
      </c>
      <c r="B87" s="1" t="n">
        <v>44683</v>
      </c>
      <c r="C87" s="1" t="n">
        <v>45839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17880-2022</t>
        </is>
      </c>
      <c r="B88" s="1" t="n">
        <v>44683</v>
      </c>
      <c r="C88" s="1" t="n">
        <v>45839</v>
      </c>
      <c r="D88" t="inlineStr">
        <is>
          <t>JÖNKÖPINGS LÄN</t>
        </is>
      </c>
      <c r="E88" t="inlineStr">
        <is>
          <t>MULLSJÖ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</v>
      </c>
      <c r="C89" s="1" t="n">
        <v>45839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21687-2022</t>
        </is>
      </c>
      <c r="B90" s="1" t="n">
        <v>44707</v>
      </c>
      <c r="C90" s="1" t="n">
        <v>45839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21691-2022</t>
        </is>
      </c>
      <c r="B91" s="1" t="n">
        <v>44707</v>
      </c>
      <c r="C91" s="1" t="n">
        <v>45839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21693-2022</t>
        </is>
      </c>
      <c r="B92" s="1" t="n">
        <v>44707</v>
      </c>
      <c r="C92" s="1" t="n">
        <v>45839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</v>
      </c>
      <c r="C93" s="1" t="n">
        <v>45839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27760-2022</t>
        </is>
      </c>
      <c r="B94" s="1" t="n">
        <v>44743</v>
      </c>
      <c r="C94" s="1" t="n">
        <v>45839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34914-2022</t>
        </is>
      </c>
      <c r="B95" s="1" t="n">
        <v>44796</v>
      </c>
      <c r="C95" s="1" t="n">
        <v>45839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39354-2022</t>
        </is>
      </c>
      <c r="B96" s="1" t="n">
        <v>44817</v>
      </c>
      <c r="C96" s="1" t="n">
        <v>45839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39353-2022</t>
        </is>
      </c>
      <c r="B97" s="1" t="n">
        <v>44817</v>
      </c>
      <c r="C97" s="1" t="n">
        <v>45839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42872-2022</t>
        </is>
      </c>
      <c r="B98" s="1" t="n">
        <v>44832</v>
      </c>
      <c r="C98" s="1" t="n">
        <v>45839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46006-2022</t>
        </is>
      </c>
      <c r="B99" s="1" t="n">
        <v>44846</v>
      </c>
      <c r="C99" s="1" t="n">
        <v>45839</v>
      </c>
      <c r="D99" t="inlineStr">
        <is>
          <t>JÖNKÖPINGS LÄN</t>
        </is>
      </c>
      <c r="E99" t="inlineStr">
        <is>
          <t>MULLSJÖ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46366-2022</t>
        </is>
      </c>
      <c r="B100" s="1" t="n">
        <v>44848</v>
      </c>
      <c r="C100" s="1" t="n">
        <v>45839</v>
      </c>
      <c r="D100" t="inlineStr">
        <is>
          <t>JÖNKÖPINGS LÄN</t>
        </is>
      </c>
      <c r="E100" t="inlineStr">
        <is>
          <t>MULLSJÖ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47687-2022</t>
        </is>
      </c>
      <c r="B101" s="1" t="n">
        <v>44854</v>
      </c>
      <c r="C101" s="1" t="n">
        <v>45839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47692-2022</t>
        </is>
      </c>
      <c r="B102" s="1" t="n">
        <v>44854</v>
      </c>
      <c r="C102" s="1" t="n">
        <v>45839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47645-2022</t>
        </is>
      </c>
      <c r="B103" s="1" t="n">
        <v>44854</v>
      </c>
      <c r="C103" s="1" t="n">
        <v>45839</v>
      </c>
      <c r="D103" t="inlineStr">
        <is>
          <t>JÖNKÖPINGS LÄN</t>
        </is>
      </c>
      <c r="E103" t="inlineStr">
        <is>
          <t>MULLSJÖ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52385-2022</t>
        </is>
      </c>
      <c r="B104" s="1" t="n">
        <v>44869</v>
      </c>
      <c r="C104" s="1" t="n">
        <v>45839</v>
      </c>
      <c r="D104" t="inlineStr">
        <is>
          <t>JÖNKÖPINGS LÄN</t>
        </is>
      </c>
      <c r="E104" t="inlineStr">
        <is>
          <t>MULLSJÖ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52058-2022</t>
        </is>
      </c>
      <c r="B105" s="1" t="n">
        <v>44873</v>
      </c>
      <c r="C105" s="1" t="n">
        <v>45839</v>
      </c>
      <c r="D105" t="inlineStr">
        <is>
          <t>JÖNKÖPINGS LÄN</t>
        </is>
      </c>
      <c r="E105" t="inlineStr">
        <is>
          <t>MULLSJÖ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52062-2022</t>
        </is>
      </c>
      <c r="B106" s="1" t="n">
        <v>44873</v>
      </c>
      <c r="C106" s="1" t="n">
        <v>45839</v>
      </c>
      <c r="D106" t="inlineStr">
        <is>
          <t>JÖNKÖPINGS LÄN</t>
        </is>
      </c>
      <c r="E106" t="inlineStr">
        <is>
          <t>MULLSJÖ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56145-2022</t>
        </is>
      </c>
      <c r="B107" s="1" t="n">
        <v>44889</v>
      </c>
      <c r="C107" s="1" t="n">
        <v>45839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56287-2022</t>
        </is>
      </c>
      <c r="B108" s="1" t="n">
        <v>44890</v>
      </c>
      <c r="C108" s="1" t="n">
        <v>45839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57025-2022</t>
        </is>
      </c>
      <c r="B109" s="1" t="n">
        <v>44895</v>
      </c>
      <c r="C109" s="1" t="n">
        <v>45839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</v>
      </c>
      <c r="C110" s="1" t="n">
        <v>45839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57624-2022</t>
        </is>
      </c>
      <c r="B111" s="1" t="n">
        <v>44897</v>
      </c>
      <c r="C111" s="1" t="n">
        <v>45839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57780-2022</t>
        </is>
      </c>
      <c r="B112" s="1" t="n">
        <v>44897</v>
      </c>
      <c r="C112" s="1" t="n">
        <v>45839</v>
      </c>
      <c r="D112" t="inlineStr">
        <is>
          <t>JÖNKÖPINGS LÄN</t>
        </is>
      </c>
      <c r="E112" t="inlineStr">
        <is>
          <t>MULLSJÖ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62232-2022</t>
        </is>
      </c>
      <c r="B113" s="1" t="n">
        <v>44922</v>
      </c>
      <c r="C113" s="1" t="n">
        <v>45839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653-2023</t>
        </is>
      </c>
      <c r="B114" s="1" t="n">
        <v>44930</v>
      </c>
      <c r="C114" s="1" t="n">
        <v>45839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1794-2023</t>
        </is>
      </c>
      <c r="B115" s="1" t="n">
        <v>44938</v>
      </c>
      <c r="C115" s="1" t="n">
        <v>45839</v>
      </c>
      <c r="D115" t="inlineStr">
        <is>
          <t>JÖNKÖPINGS LÄN</t>
        </is>
      </c>
      <c r="E115" t="inlineStr">
        <is>
          <t>MULLSJÖ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3946-2023</t>
        </is>
      </c>
      <c r="B116" s="1" t="n">
        <v>44952</v>
      </c>
      <c r="C116" s="1" t="n">
        <v>45839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4355-2023</t>
        </is>
      </c>
      <c r="B117" s="1" t="n">
        <v>44954</v>
      </c>
      <c r="C117" s="1" t="n">
        <v>45839</v>
      </c>
      <c r="D117" t="inlineStr">
        <is>
          <t>JÖNKÖPINGS LÄN</t>
        </is>
      </c>
      <c r="E117" t="inlineStr">
        <is>
          <t>MULLSJÖ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</v>
      </c>
      <c r="C118" s="1" t="n">
        <v>45839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</v>
      </c>
      <c r="C119" s="1" t="n">
        <v>45839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6200-2023</t>
        </is>
      </c>
      <c r="B120" s="1" t="n">
        <v>44964</v>
      </c>
      <c r="C120" s="1" t="n">
        <v>45839</v>
      </c>
      <c r="D120" t="inlineStr">
        <is>
          <t>JÖNKÖPINGS LÄN</t>
        </is>
      </c>
      <c r="E120" t="inlineStr">
        <is>
          <t>MULLSJÖ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6206-2023</t>
        </is>
      </c>
      <c r="B121" s="1" t="n">
        <v>44964</v>
      </c>
      <c r="C121" s="1" t="n">
        <v>45839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6210-2023</t>
        </is>
      </c>
      <c r="B122" s="1" t="n">
        <v>44964</v>
      </c>
      <c r="C122" s="1" t="n">
        <v>45839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</v>
      </c>
      <c r="C123" s="1" t="n">
        <v>45839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6194-2023</t>
        </is>
      </c>
      <c r="B124" s="1" t="n">
        <v>44964</v>
      </c>
      <c r="C124" s="1" t="n">
        <v>45839</v>
      </c>
      <c r="D124" t="inlineStr">
        <is>
          <t>JÖNKÖPINGS LÄN</t>
        </is>
      </c>
      <c r="E124" t="inlineStr">
        <is>
          <t>MULLSJÖ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6209-2023</t>
        </is>
      </c>
      <c r="B125" s="1" t="n">
        <v>44964</v>
      </c>
      <c r="C125" s="1" t="n">
        <v>45839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6196-2023</t>
        </is>
      </c>
      <c r="B126" s="1" t="n">
        <v>44964</v>
      </c>
      <c r="C126" s="1" t="n">
        <v>45839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6207-2023</t>
        </is>
      </c>
      <c r="B127" s="1" t="n">
        <v>44964</v>
      </c>
      <c r="C127" s="1" t="n">
        <v>45839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6211-2023</t>
        </is>
      </c>
      <c r="B128" s="1" t="n">
        <v>44964</v>
      </c>
      <c r="C128" s="1" t="n">
        <v>45839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6208-2023</t>
        </is>
      </c>
      <c r="B129" s="1" t="n">
        <v>44964</v>
      </c>
      <c r="C129" s="1" t="n">
        <v>45839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6212-2023</t>
        </is>
      </c>
      <c r="B130" s="1" t="n">
        <v>44964</v>
      </c>
      <c r="C130" s="1" t="n">
        <v>45839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6424-2023</t>
        </is>
      </c>
      <c r="B131" s="1" t="n">
        <v>44965</v>
      </c>
      <c r="C131" s="1" t="n">
        <v>45839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6690-2023</t>
        </is>
      </c>
      <c r="B132" s="1" t="n">
        <v>44966</v>
      </c>
      <c r="C132" s="1" t="n">
        <v>45839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7181-2023</t>
        </is>
      </c>
      <c r="B133" s="1" t="n">
        <v>44970</v>
      </c>
      <c r="C133" s="1" t="n">
        <v>45839</v>
      </c>
      <c r="D133" t="inlineStr">
        <is>
          <t>JÖNKÖPINGS LÄN</t>
        </is>
      </c>
      <c r="E133" t="inlineStr">
        <is>
          <t>MULLSJÖ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HYPERLINK("https://klasma.github.io/Logging_0642/knärot/A 7181-2023 karta knärot.png", "A 7181-2023")</f>
        <v/>
      </c>
      <c r="V133">
        <f>HYPERLINK("https://klasma.github.io/Logging_0642/klagomål/A 7181-2023 FSC-klagomål.docx", "A 7181-2023")</f>
        <v/>
      </c>
      <c r="W133">
        <f>HYPERLINK("https://klasma.github.io/Logging_0642/klagomålsmail/A 7181-2023 FSC-klagomål mail.docx", "A 7181-2023")</f>
        <v/>
      </c>
      <c r="X133">
        <f>HYPERLINK("https://klasma.github.io/Logging_0642/tillsyn/A 7181-2023 tillsynsbegäran.docx", "A 7181-2023")</f>
        <v/>
      </c>
      <c r="Y133">
        <f>HYPERLINK("https://klasma.github.io/Logging_0642/tillsynsmail/A 7181-2023 tillsynsbegäran mail.docx", "A 7181-2023")</f>
        <v/>
      </c>
    </row>
    <row r="134" ht="15" customHeight="1">
      <c r="A134" t="inlineStr">
        <is>
          <t>A 8366-2023</t>
        </is>
      </c>
      <c r="B134" s="1" t="n">
        <v>44977</v>
      </c>
      <c r="C134" s="1" t="n">
        <v>45839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</v>
      </c>
      <c r="C135" s="1" t="n">
        <v>45839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8372-2023</t>
        </is>
      </c>
      <c r="B136" s="1" t="n">
        <v>44977</v>
      </c>
      <c r="C136" s="1" t="n">
        <v>45839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8373-2023</t>
        </is>
      </c>
      <c r="B137" s="1" t="n">
        <v>44977</v>
      </c>
      <c r="C137" s="1" t="n">
        <v>45839</v>
      </c>
      <c r="D137" t="inlineStr">
        <is>
          <t>JÖNKÖPINGS LÄN</t>
        </is>
      </c>
      <c r="E137" t="inlineStr">
        <is>
          <t>MULLSJÖ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8374-2023</t>
        </is>
      </c>
      <c r="B138" s="1" t="n">
        <v>44977</v>
      </c>
      <c r="C138" s="1" t="n">
        <v>45839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8462-2023</t>
        </is>
      </c>
      <c r="B139" s="1" t="n">
        <v>44977</v>
      </c>
      <c r="C139" s="1" t="n">
        <v>45839</v>
      </c>
      <c r="D139" t="inlineStr">
        <is>
          <t>JÖNKÖPINGS LÄN</t>
        </is>
      </c>
      <c r="E139" t="inlineStr">
        <is>
          <t>MULLSJÖ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</v>
      </c>
      <c r="C140" s="1" t="n">
        <v>45839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11457-2023</t>
        </is>
      </c>
      <c r="B141" s="1" t="n">
        <v>44993</v>
      </c>
      <c r="C141" s="1" t="n">
        <v>45839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45839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15189-2023</t>
        </is>
      </c>
      <c r="B143" s="1" t="n">
        <v>45016</v>
      </c>
      <c r="C143" s="1" t="n">
        <v>45839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19067-2023</t>
        </is>
      </c>
      <c r="B144" s="1" t="n">
        <v>45043</v>
      </c>
      <c r="C144" s="1" t="n">
        <v>45839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19107-2023</t>
        </is>
      </c>
      <c r="B145" s="1" t="n">
        <v>45048</v>
      </c>
      <c r="C145" s="1" t="n">
        <v>45839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21964-2023</t>
        </is>
      </c>
      <c r="B146" s="1" t="n">
        <v>45068</v>
      </c>
      <c r="C146" s="1" t="n">
        <v>45839</v>
      </c>
      <c r="D146" t="inlineStr">
        <is>
          <t>JÖNKÖPINGS LÄN</t>
        </is>
      </c>
      <c r="E146" t="inlineStr">
        <is>
          <t>MULLSJÖ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22102-2023</t>
        </is>
      </c>
      <c r="B147" s="1" t="n">
        <v>45069</v>
      </c>
      <c r="C147" s="1" t="n">
        <v>45839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24567-2023</t>
        </is>
      </c>
      <c r="B148" s="1" t="n">
        <v>45083</v>
      </c>
      <c r="C148" s="1" t="n">
        <v>45839</v>
      </c>
      <c r="D148" t="inlineStr">
        <is>
          <t>JÖNKÖPINGS LÄN</t>
        </is>
      </c>
      <c r="E148" t="inlineStr">
        <is>
          <t>MULLSJÖ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24566-2023</t>
        </is>
      </c>
      <c r="B149" s="1" t="n">
        <v>45083</v>
      </c>
      <c r="C149" s="1" t="n">
        <v>45839</v>
      </c>
      <c r="D149" t="inlineStr">
        <is>
          <t>JÖNKÖPINGS LÄN</t>
        </is>
      </c>
      <c r="E149" t="inlineStr">
        <is>
          <t>MULLSJÖ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24568-2023</t>
        </is>
      </c>
      <c r="B150" s="1" t="n">
        <v>45083</v>
      </c>
      <c r="C150" s="1" t="n">
        <v>45839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28616-2023</t>
        </is>
      </c>
      <c r="B151" s="1" t="n">
        <v>45103</v>
      </c>
      <c r="C151" s="1" t="n">
        <v>45839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28605-2023</t>
        </is>
      </c>
      <c r="B152" s="1" t="n">
        <v>45103</v>
      </c>
      <c r="C152" s="1" t="n">
        <v>45839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31854-2023</t>
        </is>
      </c>
      <c r="B153" s="1" t="n">
        <v>45118</v>
      </c>
      <c r="C153" s="1" t="n">
        <v>45839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31864-2023</t>
        </is>
      </c>
      <c r="B154" s="1" t="n">
        <v>45118</v>
      </c>
      <c r="C154" s="1" t="n">
        <v>45839</v>
      </c>
      <c r="D154" t="inlineStr">
        <is>
          <t>JÖNKÖPINGS LÄN</t>
        </is>
      </c>
      <c r="E154" t="inlineStr">
        <is>
          <t>MULLSJÖ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</v>
      </c>
      <c r="C155" s="1" t="n">
        <v>45839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35245-2023</t>
        </is>
      </c>
      <c r="B156" s="1" t="n">
        <v>45145</v>
      </c>
      <c r="C156" s="1" t="n">
        <v>45839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35847-2023</t>
        </is>
      </c>
      <c r="B157" s="1" t="n">
        <v>45148</v>
      </c>
      <c r="C157" s="1" t="n">
        <v>45839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40121-2023</t>
        </is>
      </c>
      <c r="B158" s="1" t="n">
        <v>45169</v>
      </c>
      <c r="C158" s="1" t="n">
        <v>45839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40157-2023</t>
        </is>
      </c>
      <c r="B159" s="1" t="n">
        <v>45169</v>
      </c>
      <c r="C159" s="1" t="n">
        <v>45839</v>
      </c>
      <c r="D159" t="inlineStr">
        <is>
          <t>JÖNKÖPINGS LÄN</t>
        </is>
      </c>
      <c r="E159" t="inlineStr">
        <is>
          <t>MULLSJÖ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45839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45839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44649-2023</t>
        </is>
      </c>
      <c r="B162" s="1" t="n">
        <v>45189</v>
      </c>
      <c r="C162" s="1" t="n">
        <v>45839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44654-2023</t>
        </is>
      </c>
      <c r="B163" s="1" t="n">
        <v>45189</v>
      </c>
      <c r="C163" s="1" t="n">
        <v>45839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45386-2023</t>
        </is>
      </c>
      <c r="B164" s="1" t="n">
        <v>45193</v>
      </c>
      <c r="C164" s="1" t="n">
        <v>45839</v>
      </c>
      <c r="D164" t="inlineStr">
        <is>
          <t>JÖNKÖPINGS LÄN</t>
        </is>
      </c>
      <c r="E164" t="inlineStr">
        <is>
          <t>MULLSJÖ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46901-2023</t>
        </is>
      </c>
      <c r="B165" s="1" t="n">
        <v>45201</v>
      </c>
      <c r="C165" s="1" t="n">
        <v>45839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47194-2023</t>
        </is>
      </c>
      <c r="B166" s="1" t="n">
        <v>45202</v>
      </c>
      <c r="C166" s="1" t="n">
        <v>45839</v>
      </c>
      <c r="D166" t="inlineStr">
        <is>
          <t>JÖNKÖPINGS LÄN</t>
        </is>
      </c>
      <c r="E166" t="inlineStr">
        <is>
          <t>MULLSJÖ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45839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49924-2023</t>
        </is>
      </c>
      <c r="B168" s="1" t="n">
        <v>45214</v>
      </c>
      <c r="C168" s="1" t="n">
        <v>45839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</v>
      </c>
      <c r="C169" s="1" t="n">
        <v>45839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50248-2023</t>
        </is>
      </c>
      <c r="B170" s="1" t="n">
        <v>45216</v>
      </c>
      <c r="C170" s="1" t="n">
        <v>45839</v>
      </c>
      <c r="D170" t="inlineStr">
        <is>
          <t>JÖNKÖPINGS LÄN</t>
        </is>
      </c>
      <c r="E170" t="inlineStr">
        <is>
          <t>MULLSJÖ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45839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56876-2023</t>
        </is>
      </c>
      <c r="B172" s="1" t="n">
        <v>45244</v>
      </c>
      <c r="C172" s="1" t="n">
        <v>45839</v>
      </c>
      <c r="D172" t="inlineStr">
        <is>
          <t>JÖNKÖPINGS LÄN</t>
        </is>
      </c>
      <c r="E172" t="inlineStr">
        <is>
          <t>MULLSJÖ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57423-2023</t>
        </is>
      </c>
      <c r="B173" s="1" t="n">
        <v>45246</v>
      </c>
      <c r="C173" s="1" t="n">
        <v>45839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57494-2023</t>
        </is>
      </c>
      <c r="B174" s="1" t="n">
        <v>45246</v>
      </c>
      <c r="C174" s="1" t="n">
        <v>45839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58712-2023</t>
        </is>
      </c>
      <c r="B175" s="1" t="n">
        <v>45251</v>
      </c>
      <c r="C175" s="1" t="n">
        <v>45839</v>
      </c>
      <c r="D175" t="inlineStr">
        <is>
          <t>JÖNKÖPINGS LÄN</t>
        </is>
      </c>
      <c r="E175" t="inlineStr">
        <is>
          <t>MULLSJÖ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61178-2023</t>
        </is>
      </c>
      <c r="B176" s="1" t="n">
        <v>45263</v>
      </c>
      <c r="C176" s="1" t="n">
        <v>45839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61177-2023</t>
        </is>
      </c>
      <c r="B177" s="1" t="n">
        <v>45263</v>
      </c>
      <c r="C177" s="1" t="n">
        <v>45839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61176-2023</t>
        </is>
      </c>
      <c r="B178" s="1" t="n">
        <v>45263</v>
      </c>
      <c r="C178" s="1" t="n">
        <v>45839</v>
      </c>
      <c r="D178" t="inlineStr">
        <is>
          <t>JÖNKÖPINGS LÄN</t>
        </is>
      </c>
      <c r="E178" t="inlineStr">
        <is>
          <t>MULLSJÖ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61727-2023</t>
        </is>
      </c>
      <c r="B179" s="1" t="n">
        <v>45265</v>
      </c>
      <c r="C179" s="1" t="n">
        <v>45839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64387-2023</t>
        </is>
      </c>
      <c r="B180" s="1" t="n">
        <v>45280</v>
      </c>
      <c r="C180" s="1" t="n">
        <v>45839</v>
      </c>
      <c r="D180" t="inlineStr">
        <is>
          <t>JÖNKÖPINGS LÄN</t>
        </is>
      </c>
      <c r="E180" t="inlineStr">
        <is>
          <t>MULLSJÖ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45839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45839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2495-2024</t>
        </is>
      </c>
      <c r="B183" s="1" t="n">
        <v>45313</v>
      </c>
      <c r="C183" s="1" t="n">
        <v>45839</v>
      </c>
      <c r="D183" t="inlineStr">
        <is>
          <t>JÖNKÖPINGS LÄN</t>
        </is>
      </c>
      <c r="E183" t="inlineStr">
        <is>
          <t>MULLSJÖ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2498-2024</t>
        </is>
      </c>
      <c r="B184" s="1" t="n">
        <v>45313</v>
      </c>
      <c r="C184" s="1" t="n">
        <v>45839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3775-2024</t>
        </is>
      </c>
      <c r="B185" s="1" t="n">
        <v>45321</v>
      </c>
      <c r="C185" s="1" t="n">
        <v>45839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4252-2024</t>
        </is>
      </c>
      <c r="B186" s="1" t="n">
        <v>45324</v>
      </c>
      <c r="C186" s="1" t="n">
        <v>45839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4256-2024</t>
        </is>
      </c>
      <c r="B187" s="1" t="n">
        <v>45324</v>
      </c>
      <c r="C187" s="1" t="n">
        <v>45839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4265-2024</t>
        </is>
      </c>
      <c r="B188" s="1" t="n">
        <v>45324</v>
      </c>
      <c r="C188" s="1" t="n">
        <v>45839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4999-2024</t>
        </is>
      </c>
      <c r="B189" s="1" t="n">
        <v>45329</v>
      </c>
      <c r="C189" s="1" t="n">
        <v>45839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6222-2024</t>
        </is>
      </c>
      <c r="B190" s="1" t="n">
        <v>45337</v>
      </c>
      <c r="C190" s="1" t="n">
        <v>45839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7820-2024</t>
        </is>
      </c>
      <c r="B191" s="1" t="n">
        <v>45349</v>
      </c>
      <c r="C191" s="1" t="n">
        <v>45839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7817-2024</t>
        </is>
      </c>
      <c r="B192" s="1" t="n">
        <v>45349</v>
      </c>
      <c r="C192" s="1" t="n">
        <v>45839</v>
      </c>
      <c r="D192" t="inlineStr">
        <is>
          <t>JÖNKÖPINGS LÄN</t>
        </is>
      </c>
      <c r="E192" t="inlineStr">
        <is>
          <t>MULLSJÖ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7821-2024</t>
        </is>
      </c>
      <c r="B193" s="1" t="n">
        <v>45349</v>
      </c>
      <c r="C193" s="1" t="n">
        <v>45839</v>
      </c>
      <c r="D193" t="inlineStr">
        <is>
          <t>JÖNKÖPINGS LÄN</t>
        </is>
      </c>
      <c r="E193" t="inlineStr">
        <is>
          <t>MULLSJÖ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7823-2024</t>
        </is>
      </c>
      <c r="B194" s="1" t="n">
        <v>45349</v>
      </c>
      <c r="C194" s="1" t="n">
        <v>45839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9008-2024</t>
        </is>
      </c>
      <c r="B195" s="1" t="n">
        <v>45357</v>
      </c>
      <c r="C195" s="1" t="n">
        <v>45839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9934-2024</t>
        </is>
      </c>
      <c r="B196" s="1" t="n">
        <v>45363</v>
      </c>
      <c r="C196" s="1" t="n">
        <v>45839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</v>
      </c>
      <c r="C197" s="1" t="n">
        <v>45839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</v>
      </c>
      <c r="C198" s="1" t="n">
        <v>45839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11280-2024</t>
        </is>
      </c>
      <c r="B199" s="1" t="n">
        <v>45371</v>
      </c>
      <c r="C199" s="1" t="n">
        <v>45839</v>
      </c>
      <c r="D199" t="inlineStr">
        <is>
          <t>JÖNKÖPINGS LÄN</t>
        </is>
      </c>
      <c r="E199" t="inlineStr">
        <is>
          <t>MULLSJÖ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11515-2024</t>
        </is>
      </c>
      <c r="B200" s="1" t="n">
        <v>45372</v>
      </c>
      <c r="C200" s="1" t="n">
        <v>45839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13575-2024</t>
        </is>
      </c>
      <c r="B201" s="1" t="n">
        <v>45389</v>
      </c>
      <c r="C201" s="1" t="n">
        <v>45839</v>
      </c>
      <c r="D201" t="inlineStr">
        <is>
          <t>JÖNKÖPINGS LÄN</t>
        </is>
      </c>
      <c r="E201" t="inlineStr">
        <is>
          <t>MULLSJÖ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14211-2024</t>
        </is>
      </c>
      <c r="B202" s="1" t="n">
        <v>45393</v>
      </c>
      <c r="C202" s="1" t="n">
        <v>45839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14226-2024</t>
        </is>
      </c>
      <c r="B203" s="1" t="n">
        <v>45393</v>
      </c>
      <c r="C203" s="1" t="n">
        <v>45839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14230-2024</t>
        </is>
      </c>
      <c r="B204" s="1" t="n">
        <v>45393</v>
      </c>
      <c r="C204" s="1" t="n">
        <v>45839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45839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19740-2024</t>
        </is>
      </c>
      <c r="B206" s="1" t="n">
        <v>45432</v>
      </c>
      <c r="C206" s="1" t="n">
        <v>45839</v>
      </c>
      <c r="D206" t="inlineStr">
        <is>
          <t>JÖNKÖPINGS LÄN</t>
        </is>
      </c>
      <c r="E206" t="inlineStr">
        <is>
          <t>MULLSJÖ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20614-2024</t>
        </is>
      </c>
      <c r="B207" s="1" t="n">
        <v>45436</v>
      </c>
      <c r="C207" s="1" t="n">
        <v>45839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22270-2024</t>
        </is>
      </c>
      <c r="B208" s="1" t="n">
        <v>45446</v>
      </c>
      <c r="C208" s="1" t="n">
        <v>45839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22269-2024</t>
        </is>
      </c>
      <c r="B209" s="1" t="n">
        <v>45446</v>
      </c>
      <c r="C209" s="1" t="n">
        <v>45839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23128-2024</t>
        </is>
      </c>
      <c r="B210" s="1" t="n">
        <v>45450</v>
      </c>
      <c r="C210" s="1" t="n">
        <v>45839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23787-2024</t>
        </is>
      </c>
      <c r="B211" s="1" t="n">
        <v>45455</v>
      </c>
      <c r="C211" s="1" t="n">
        <v>45839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23789-2024</t>
        </is>
      </c>
      <c r="B212" s="1" t="n">
        <v>45455</v>
      </c>
      <c r="C212" s="1" t="n">
        <v>45839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26107-2024</t>
        </is>
      </c>
      <c r="B213" s="1" t="n">
        <v>45468</v>
      </c>
      <c r="C213" s="1" t="n">
        <v>45839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26264-2024</t>
        </is>
      </c>
      <c r="B214" s="1" t="n">
        <v>45468</v>
      </c>
      <c r="C214" s="1" t="n">
        <v>45839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26123-2024</t>
        </is>
      </c>
      <c r="B215" s="1" t="n">
        <v>45468</v>
      </c>
      <c r="C215" s="1" t="n">
        <v>45839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26749-2024</t>
        </is>
      </c>
      <c r="B216" s="1" t="n">
        <v>45469</v>
      </c>
      <c r="C216" s="1" t="n">
        <v>45839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26760-2024</t>
        </is>
      </c>
      <c r="B217" s="1" t="n">
        <v>45469</v>
      </c>
      <c r="C217" s="1" t="n">
        <v>45839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45839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26754-2024</t>
        </is>
      </c>
      <c r="B219" s="1" t="n">
        <v>45469</v>
      </c>
      <c r="C219" s="1" t="n">
        <v>45839</v>
      </c>
      <c r="D219" t="inlineStr">
        <is>
          <t>JÖNKÖPINGS LÄN</t>
        </is>
      </c>
      <c r="E219" t="inlineStr">
        <is>
          <t>MULLSJÖ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26746-2024</t>
        </is>
      </c>
      <c r="B220" s="1" t="n">
        <v>45469</v>
      </c>
      <c r="C220" s="1" t="n">
        <v>45839</v>
      </c>
      <c r="D220" t="inlineStr">
        <is>
          <t>JÖNKÖPINGS LÄN</t>
        </is>
      </c>
      <c r="E220" t="inlineStr">
        <is>
          <t>MULLSJÖ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26757-2024</t>
        </is>
      </c>
      <c r="B221" s="1" t="n">
        <v>45469</v>
      </c>
      <c r="C221" s="1" t="n">
        <v>45839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26584-2024</t>
        </is>
      </c>
      <c r="B222" s="1" t="n">
        <v>45469</v>
      </c>
      <c r="C222" s="1" t="n">
        <v>45839</v>
      </c>
      <c r="D222" t="inlineStr">
        <is>
          <t>JÖNKÖPINGS LÄN</t>
        </is>
      </c>
      <c r="E222" t="inlineStr">
        <is>
          <t>MULLSJÖ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26751-2024</t>
        </is>
      </c>
      <c r="B223" s="1" t="n">
        <v>45469</v>
      </c>
      <c r="C223" s="1" t="n">
        <v>45839</v>
      </c>
      <c r="D223" t="inlineStr">
        <is>
          <t>JÖNKÖPINGS LÄN</t>
        </is>
      </c>
      <c r="E223" t="inlineStr">
        <is>
          <t>MULLSJÖ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28777-2024</t>
        </is>
      </c>
      <c r="B224" s="1" t="n">
        <v>45478</v>
      </c>
      <c r="C224" s="1" t="n">
        <v>45839</v>
      </c>
      <c r="D224" t="inlineStr">
        <is>
          <t>JÖNKÖPINGS LÄN</t>
        </is>
      </c>
      <c r="E224" t="inlineStr">
        <is>
          <t>MULLSJÖ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28791-2024</t>
        </is>
      </c>
      <c r="B225" s="1" t="n">
        <v>45478</v>
      </c>
      <c r="C225" s="1" t="n">
        <v>45839</v>
      </c>
      <c r="D225" t="inlineStr">
        <is>
          <t>JÖNKÖPINGS LÄN</t>
        </is>
      </c>
      <c r="E225" t="inlineStr">
        <is>
          <t>MULLSJÖ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29393-2024</t>
        </is>
      </c>
      <c r="B226" s="1" t="n">
        <v>45483</v>
      </c>
      <c r="C226" s="1" t="n">
        <v>45839</v>
      </c>
      <c r="D226" t="inlineStr">
        <is>
          <t>JÖNKÖPINGS LÄN</t>
        </is>
      </c>
      <c r="E226" t="inlineStr">
        <is>
          <t>MULLSJÖ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29527-2024</t>
        </is>
      </c>
      <c r="B227" s="1" t="n">
        <v>45484</v>
      </c>
      <c r="C227" s="1" t="n">
        <v>45839</v>
      </c>
      <c r="D227" t="inlineStr">
        <is>
          <t>JÖNKÖPINGS LÄN</t>
        </is>
      </c>
      <c r="E227" t="inlineStr">
        <is>
          <t>MULLSJÖ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30641-2024</t>
        </is>
      </c>
      <c r="B228" s="1" t="n">
        <v>45495</v>
      </c>
      <c r="C228" s="1" t="n">
        <v>45839</v>
      </c>
      <c r="D228" t="inlineStr">
        <is>
          <t>JÖNKÖPINGS LÄN</t>
        </is>
      </c>
      <c r="E228" t="inlineStr">
        <is>
          <t>MULLSJÖ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30640-2024</t>
        </is>
      </c>
      <c r="B229" s="1" t="n">
        <v>45495</v>
      </c>
      <c r="C229" s="1" t="n">
        <v>45839</v>
      </c>
      <c r="D229" t="inlineStr">
        <is>
          <t>JÖNKÖPINGS LÄN</t>
        </is>
      </c>
      <c r="E229" t="inlineStr">
        <is>
          <t>MULLSJÖ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33875-2024</t>
        </is>
      </c>
      <c r="B230" s="1" t="n">
        <v>45521</v>
      </c>
      <c r="C230" s="1" t="n">
        <v>45839</v>
      </c>
      <c r="D230" t="inlineStr">
        <is>
          <t>JÖNKÖPINGS LÄN</t>
        </is>
      </c>
      <c r="E230" t="inlineStr">
        <is>
          <t>MULLSJÖ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35113-2024</t>
        </is>
      </c>
      <c r="B231" s="1" t="n">
        <v>45529</v>
      </c>
      <c r="C231" s="1" t="n">
        <v>45839</v>
      </c>
      <c r="D231" t="inlineStr">
        <is>
          <t>JÖNKÖPINGS LÄN</t>
        </is>
      </c>
      <c r="E231" t="inlineStr">
        <is>
          <t>MULLSJÖ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37797-2024</t>
        </is>
      </c>
      <c r="B232" s="1" t="n">
        <v>45543</v>
      </c>
      <c r="C232" s="1" t="n">
        <v>45839</v>
      </c>
      <c r="D232" t="inlineStr">
        <is>
          <t>JÖNKÖPINGS LÄN</t>
        </is>
      </c>
      <c r="E232" t="inlineStr">
        <is>
          <t>MULLSJÖ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37796-2024</t>
        </is>
      </c>
      <c r="B233" s="1" t="n">
        <v>45543</v>
      </c>
      <c r="C233" s="1" t="n">
        <v>45839</v>
      </c>
      <c r="D233" t="inlineStr">
        <is>
          <t>JÖNKÖPINGS LÄN</t>
        </is>
      </c>
      <c r="E233" t="inlineStr">
        <is>
          <t>MULLSJÖ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37798-2024</t>
        </is>
      </c>
      <c r="B234" s="1" t="n">
        <v>45543</v>
      </c>
      <c r="C234" s="1" t="n">
        <v>45839</v>
      </c>
      <c r="D234" t="inlineStr">
        <is>
          <t>JÖNKÖPINGS LÄN</t>
        </is>
      </c>
      <c r="E234" t="inlineStr">
        <is>
          <t>MULLSJÖ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39131-2024</t>
        </is>
      </c>
      <c r="B235" s="1" t="n">
        <v>45548</v>
      </c>
      <c r="C235" s="1" t="n">
        <v>45839</v>
      </c>
      <c r="D235" t="inlineStr">
        <is>
          <t>JÖNKÖPINGS LÄN</t>
        </is>
      </c>
      <c r="E235" t="inlineStr">
        <is>
          <t>MULLSJÖ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39990-2024</t>
        </is>
      </c>
      <c r="B236" s="1" t="n">
        <v>45553</v>
      </c>
      <c r="C236" s="1" t="n">
        <v>45839</v>
      </c>
      <c r="D236" t="inlineStr">
        <is>
          <t>JÖNKÖPINGS LÄN</t>
        </is>
      </c>
      <c r="E236" t="inlineStr">
        <is>
          <t>MULLSJÖ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39988-2024</t>
        </is>
      </c>
      <c r="B237" s="1" t="n">
        <v>45553</v>
      </c>
      <c r="C237" s="1" t="n">
        <v>45839</v>
      </c>
      <c r="D237" t="inlineStr">
        <is>
          <t>JÖNKÖPINGS LÄN</t>
        </is>
      </c>
      <c r="E237" t="inlineStr">
        <is>
          <t>MULLSJÖ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45505-2024</t>
        </is>
      </c>
      <c r="B238" s="1" t="n">
        <v>45578</v>
      </c>
      <c r="C238" s="1" t="n">
        <v>45839</v>
      </c>
      <c r="D238" t="inlineStr">
        <is>
          <t>JÖNKÖPINGS LÄN</t>
        </is>
      </c>
      <c r="E238" t="inlineStr">
        <is>
          <t>MULLSJÖ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49733-2024</t>
        </is>
      </c>
      <c r="B239" s="1" t="n">
        <v>45596</v>
      </c>
      <c r="C239" s="1" t="n">
        <v>45839</v>
      </c>
      <c r="D239" t="inlineStr">
        <is>
          <t>JÖNKÖPINGS LÄN</t>
        </is>
      </c>
      <c r="E239" t="inlineStr">
        <is>
          <t>MULLSJÖ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49734-2024</t>
        </is>
      </c>
      <c r="B240" s="1" t="n">
        <v>45596</v>
      </c>
      <c r="C240" s="1" t="n">
        <v>45839</v>
      </c>
      <c r="D240" t="inlineStr">
        <is>
          <t>JÖNKÖPINGS LÄN</t>
        </is>
      </c>
      <c r="E240" t="inlineStr">
        <is>
          <t>MULLSJÖ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50374-2024</t>
        </is>
      </c>
      <c r="B241" s="1" t="n">
        <v>45601</v>
      </c>
      <c r="C241" s="1" t="n">
        <v>45839</v>
      </c>
      <c r="D241" t="inlineStr">
        <is>
          <t>JÖNKÖPINGS LÄN</t>
        </is>
      </c>
      <c r="E241" t="inlineStr">
        <is>
          <t>MULLSJÖ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51604-2024</t>
        </is>
      </c>
      <c r="B242" s="1" t="n">
        <v>45604</v>
      </c>
      <c r="C242" s="1" t="n">
        <v>45839</v>
      </c>
      <c r="D242" t="inlineStr">
        <is>
          <t>JÖNKÖPINGS LÄN</t>
        </is>
      </c>
      <c r="E242" t="inlineStr">
        <is>
          <t>MULLSJÖ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52102-2024</t>
        </is>
      </c>
      <c r="B243" s="1" t="n">
        <v>45608</v>
      </c>
      <c r="C243" s="1" t="n">
        <v>45839</v>
      </c>
      <c r="D243" t="inlineStr">
        <is>
          <t>JÖNKÖPINGS LÄN</t>
        </is>
      </c>
      <c r="E243" t="inlineStr">
        <is>
          <t>MULLSJÖ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45839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55295-2024</t>
        </is>
      </c>
      <c r="B245" s="1" t="n">
        <v>45621</v>
      </c>
      <c r="C245" s="1" t="n">
        <v>45839</v>
      </c>
      <c r="D245" t="inlineStr">
        <is>
          <t>JÖNKÖPINGS LÄN</t>
        </is>
      </c>
      <c r="E245" t="inlineStr">
        <is>
          <t>MULLSJÖ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55296-2024</t>
        </is>
      </c>
      <c r="B246" s="1" t="n">
        <v>45621</v>
      </c>
      <c r="C246" s="1" t="n">
        <v>45839</v>
      </c>
      <c r="D246" t="inlineStr">
        <is>
          <t>JÖNKÖPINGS LÄN</t>
        </is>
      </c>
      <c r="E246" t="inlineStr">
        <is>
          <t>MULLSJÖ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57195-2024</t>
        </is>
      </c>
      <c r="B247" s="1" t="n">
        <v>45629</v>
      </c>
      <c r="C247" s="1" t="n">
        <v>45839</v>
      </c>
      <c r="D247" t="inlineStr">
        <is>
          <t>JÖNKÖPINGS LÄN</t>
        </is>
      </c>
      <c r="E247" t="inlineStr">
        <is>
          <t>MULLSJÖ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58378-2024</t>
        </is>
      </c>
      <c r="B248" s="1" t="n">
        <v>45632</v>
      </c>
      <c r="C248" s="1" t="n">
        <v>45839</v>
      </c>
      <c r="D248" t="inlineStr">
        <is>
          <t>JÖNKÖPINGS LÄN</t>
        </is>
      </c>
      <c r="E248" t="inlineStr">
        <is>
          <t>MULLSJÖ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59333-2024</t>
        </is>
      </c>
      <c r="B249" s="1" t="n">
        <v>45637</v>
      </c>
      <c r="C249" s="1" t="n">
        <v>45839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59332-2024</t>
        </is>
      </c>
      <c r="B250" s="1" t="n">
        <v>45637</v>
      </c>
      <c r="C250" s="1" t="n">
        <v>45839</v>
      </c>
      <c r="D250" t="inlineStr">
        <is>
          <t>JÖNKÖPINGS LÄN</t>
        </is>
      </c>
      <c r="E250" t="inlineStr">
        <is>
          <t>MULLSJÖ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59349-2024</t>
        </is>
      </c>
      <c r="B251" s="1" t="n">
        <v>45638</v>
      </c>
      <c r="C251" s="1" t="n">
        <v>45839</v>
      </c>
      <c r="D251" t="inlineStr">
        <is>
          <t>JÖNKÖPINGS LÄN</t>
        </is>
      </c>
      <c r="E251" t="inlineStr">
        <is>
          <t>MULLSJÖ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59503-2024</t>
        </is>
      </c>
      <c r="B252" s="1" t="n">
        <v>45638</v>
      </c>
      <c r="C252" s="1" t="n">
        <v>45839</v>
      </c>
      <c r="D252" t="inlineStr">
        <is>
          <t>JÖNKÖPINGS LÄN</t>
        </is>
      </c>
      <c r="E252" t="inlineStr">
        <is>
          <t>MULLSJÖ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60558-2024</t>
        </is>
      </c>
      <c r="B253" s="1" t="n">
        <v>45643</v>
      </c>
      <c r="C253" s="1" t="n">
        <v>45839</v>
      </c>
      <c r="D253" t="inlineStr">
        <is>
          <t>JÖNKÖPINGS LÄN</t>
        </is>
      </c>
      <c r="E253" t="inlineStr">
        <is>
          <t>MULLSJÖ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2294-2025</t>
        </is>
      </c>
      <c r="B254" s="1" t="n">
        <v>45673</v>
      </c>
      <c r="C254" s="1" t="n">
        <v>45839</v>
      </c>
      <c r="D254" t="inlineStr">
        <is>
          <t>JÖNKÖPINGS LÄN</t>
        </is>
      </c>
      <c r="E254" t="inlineStr">
        <is>
          <t>MULLSJÖ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2293-2025</t>
        </is>
      </c>
      <c r="B255" s="1" t="n">
        <v>45673</v>
      </c>
      <c r="C255" s="1" t="n">
        <v>45839</v>
      </c>
      <c r="D255" t="inlineStr">
        <is>
          <t>JÖNKÖPINGS LÄN</t>
        </is>
      </c>
      <c r="E255" t="inlineStr">
        <is>
          <t>MULLSJÖ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2642-2025</t>
        </is>
      </c>
      <c r="B256" s="1" t="n">
        <v>45676</v>
      </c>
      <c r="C256" s="1" t="n">
        <v>45839</v>
      </c>
      <c r="D256" t="inlineStr">
        <is>
          <t>JÖNKÖPINGS LÄN</t>
        </is>
      </c>
      <c r="E256" t="inlineStr">
        <is>
          <t>MULLSJÖ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2660-2025</t>
        </is>
      </c>
      <c r="B257" s="1" t="n">
        <v>45676</v>
      </c>
      <c r="C257" s="1" t="n">
        <v>45839</v>
      </c>
      <c r="D257" t="inlineStr">
        <is>
          <t>JÖNKÖPINGS LÄN</t>
        </is>
      </c>
      <c r="E257" t="inlineStr">
        <is>
          <t>MULLSJÖ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3837-2025</t>
        </is>
      </c>
      <c r="B258" s="1" t="n">
        <v>45682</v>
      </c>
      <c r="C258" s="1" t="n">
        <v>45839</v>
      </c>
      <c r="D258" t="inlineStr">
        <is>
          <t>JÖNKÖPINGS LÄN</t>
        </is>
      </c>
      <c r="E258" t="inlineStr">
        <is>
          <t>MULLSJÖ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4438-2025</t>
        </is>
      </c>
      <c r="B259" s="1" t="n">
        <v>45686</v>
      </c>
      <c r="C259" s="1" t="n">
        <v>45839</v>
      </c>
      <c r="D259" t="inlineStr">
        <is>
          <t>JÖNKÖPINGS LÄN</t>
        </is>
      </c>
      <c r="E259" t="inlineStr">
        <is>
          <t>MULLSJÖ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5832-2025</t>
        </is>
      </c>
      <c r="B260" s="1" t="n">
        <v>45694</v>
      </c>
      <c r="C260" s="1" t="n">
        <v>45839</v>
      </c>
      <c r="D260" t="inlineStr">
        <is>
          <t>JÖNKÖPINGS LÄN</t>
        </is>
      </c>
      <c r="E260" t="inlineStr">
        <is>
          <t>MULLSJÖ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7278-2025</t>
        </is>
      </c>
      <c r="B261" s="1" t="n">
        <v>45702</v>
      </c>
      <c r="C261" s="1" t="n">
        <v>45839</v>
      </c>
      <c r="D261" t="inlineStr">
        <is>
          <t>JÖNKÖPINGS LÄN</t>
        </is>
      </c>
      <c r="E261" t="inlineStr">
        <is>
          <t>MULLSJÖ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7268-2025</t>
        </is>
      </c>
      <c r="B262" s="1" t="n">
        <v>45702</v>
      </c>
      <c r="C262" s="1" t="n">
        <v>45839</v>
      </c>
      <c r="D262" t="inlineStr">
        <is>
          <t>JÖNKÖPINGS LÄN</t>
        </is>
      </c>
      <c r="E262" t="inlineStr">
        <is>
          <t>MULLSJÖ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8020-2025</t>
        </is>
      </c>
      <c r="B263" s="1" t="n">
        <v>45707</v>
      </c>
      <c r="C263" s="1" t="n">
        <v>45839</v>
      </c>
      <c r="D263" t="inlineStr">
        <is>
          <t>JÖNKÖPINGS LÄN</t>
        </is>
      </c>
      <c r="E263" t="inlineStr">
        <is>
          <t>MULLSJÖ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9892-2025</t>
        </is>
      </c>
      <c r="B264" s="1" t="n">
        <v>45716</v>
      </c>
      <c r="C264" s="1" t="n">
        <v>45839</v>
      </c>
      <c r="D264" t="inlineStr">
        <is>
          <t>JÖNKÖPINGS LÄN</t>
        </is>
      </c>
      <c r="E264" t="inlineStr">
        <is>
          <t>MULLSJÖ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10206-2025</t>
        </is>
      </c>
      <c r="B265" s="1" t="n">
        <v>45719</v>
      </c>
      <c r="C265" s="1" t="n">
        <v>45839</v>
      </c>
      <c r="D265" t="inlineStr">
        <is>
          <t>JÖNKÖPINGS LÄN</t>
        </is>
      </c>
      <c r="E265" t="inlineStr">
        <is>
          <t>MULLSJÖ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10207-2025</t>
        </is>
      </c>
      <c r="B266" s="1" t="n">
        <v>45719</v>
      </c>
      <c r="C266" s="1" t="n">
        <v>45839</v>
      </c>
      <c r="D266" t="inlineStr">
        <is>
          <t>JÖNKÖPINGS LÄN</t>
        </is>
      </c>
      <c r="E266" t="inlineStr">
        <is>
          <t>MULLSJÖ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10742-2025</t>
        </is>
      </c>
      <c r="B267" s="1" t="n">
        <v>45722</v>
      </c>
      <c r="C267" s="1" t="n">
        <v>45839</v>
      </c>
      <c r="D267" t="inlineStr">
        <is>
          <t>JÖNKÖPINGS LÄN</t>
        </is>
      </c>
      <c r="E267" t="inlineStr">
        <is>
          <t>MULLSJÖ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11227-2025</t>
        </is>
      </c>
      <c r="B268" s="1" t="n">
        <v>45726</v>
      </c>
      <c r="C268" s="1" t="n">
        <v>45839</v>
      </c>
      <c r="D268" t="inlineStr">
        <is>
          <t>JÖNKÖPINGS LÄN</t>
        </is>
      </c>
      <c r="E268" t="inlineStr">
        <is>
          <t>MULLSJÖ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45839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12423-2025</t>
        </is>
      </c>
      <c r="B270" s="1" t="n">
        <v>45730</v>
      </c>
      <c r="C270" s="1" t="n">
        <v>45839</v>
      </c>
      <c r="D270" t="inlineStr">
        <is>
          <t>JÖNKÖPINGS LÄN</t>
        </is>
      </c>
      <c r="E270" t="inlineStr">
        <is>
          <t>MULLSJÖ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12422-2025</t>
        </is>
      </c>
      <c r="B271" s="1" t="n">
        <v>45730</v>
      </c>
      <c r="C271" s="1" t="n">
        <v>45839</v>
      </c>
      <c r="D271" t="inlineStr">
        <is>
          <t>JÖNKÖPINGS LÄN</t>
        </is>
      </c>
      <c r="E271" t="inlineStr">
        <is>
          <t>MULLSJÖ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14029-2025</t>
        </is>
      </c>
      <c r="B272" s="1" t="n">
        <v>45740</v>
      </c>
      <c r="C272" s="1" t="n">
        <v>45839</v>
      </c>
      <c r="D272" t="inlineStr">
        <is>
          <t>JÖNKÖPINGS LÄN</t>
        </is>
      </c>
      <c r="E272" t="inlineStr">
        <is>
          <t>MULLSJÖ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14033-2025</t>
        </is>
      </c>
      <c r="B273" s="1" t="n">
        <v>45740</v>
      </c>
      <c r="C273" s="1" t="n">
        <v>45839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14064-2025</t>
        </is>
      </c>
      <c r="B274" s="1" t="n">
        <v>45740</v>
      </c>
      <c r="C274" s="1" t="n">
        <v>45839</v>
      </c>
      <c r="D274" t="inlineStr">
        <is>
          <t>JÖNKÖPINGS LÄN</t>
        </is>
      </c>
      <c r="E274" t="inlineStr">
        <is>
          <t>MULLSJÖ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15707-2025</t>
        </is>
      </c>
      <c r="B275" s="1" t="n">
        <v>45748</v>
      </c>
      <c r="C275" s="1" t="n">
        <v>45839</v>
      </c>
      <c r="D275" t="inlineStr">
        <is>
          <t>JÖNKÖPINGS LÄN</t>
        </is>
      </c>
      <c r="E275" t="inlineStr">
        <is>
          <t>MULLSJÖ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45839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45839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16449-2025</t>
        </is>
      </c>
      <c r="B278" s="1" t="n">
        <v>45751</v>
      </c>
      <c r="C278" s="1" t="n">
        <v>45839</v>
      </c>
      <c r="D278" t="inlineStr">
        <is>
          <t>JÖNKÖPINGS LÄN</t>
        </is>
      </c>
      <c r="E278" t="inlineStr">
        <is>
          <t>MULLSJÖ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45839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45839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45839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45839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45839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16572-2025</t>
        </is>
      </c>
      <c r="B284" s="1" t="n">
        <v>45752</v>
      </c>
      <c r="C284" s="1" t="n">
        <v>45839</v>
      </c>
      <c r="D284" t="inlineStr">
        <is>
          <t>JÖNKÖPINGS LÄN</t>
        </is>
      </c>
      <c r="E284" t="inlineStr">
        <is>
          <t>MULLSJÖ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16573-2025</t>
        </is>
      </c>
      <c r="B285" s="1" t="n">
        <v>45752</v>
      </c>
      <c r="C285" s="1" t="n">
        <v>45839</v>
      </c>
      <c r="D285" t="inlineStr">
        <is>
          <t>JÖNKÖPINGS LÄN</t>
        </is>
      </c>
      <c r="E285" t="inlineStr">
        <is>
          <t>MULLSJÖ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16813-2025</t>
        </is>
      </c>
      <c r="B286" s="1" t="n">
        <v>45754</v>
      </c>
      <c r="C286" s="1" t="n">
        <v>45839</v>
      </c>
      <c r="D286" t="inlineStr">
        <is>
          <t>JÖNKÖPINGS LÄN</t>
        </is>
      </c>
      <c r="E286" t="inlineStr">
        <is>
          <t>MULLSJÖ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16821-2025</t>
        </is>
      </c>
      <c r="B287" s="1" t="n">
        <v>45754</v>
      </c>
      <c r="C287" s="1" t="n">
        <v>45839</v>
      </c>
      <c r="D287" t="inlineStr">
        <is>
          <t>JÖNKÖPINGS LÄN</t>
        </is>
      </c>
      <c r="E287" t="inlineStr">
        <is>
          <t>MULLSJÖ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45839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17011-2025</t>
        </is>
      </c>
      <c r="B289" s="1" t="n">
        <v>45755</v>
      </c>
      <c r="C289" s="1" t="n">
        <v>45839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17121-2025</t>
        </is>
      </c>
      <c r="B290" s="1" t="n">
        <v>45755</v>
      </c>
      <c r="C290" s="1" t="n">
        <v>45839</v>
      </c>
      <c r="D290" t="inlineStr">
        <is>
          <t>JÖNKÖPINGS LÄN</t>
        </is>
      </c>
      <c r="E290" t="inlineStr">
        <is>
          <t>MULLSJÖ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18045-2025</t>
        </is>
      </c>
      <c r="B291" s="1" t="n">
        <v>45761</v>
      </c>
      <c r="C291" s="1" t="n">
        <v>45839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45839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24440-2025</t>
        </is>
      </c>
      <c r="B293" s="1" t="n">
        <v>45797</v>
      </c>
      <c r="C293" s="1" t="n">
        <v>45839</v>
      </c>
      <c r="D293" t="inlineStr">
        <is>
          <t>JÖNKÖPINGS LÄN</t>
        </is>
      </c>
      <c r="E293" t="inlineStr">
        <is>
          <t>MULLSJÖ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25863-2025</t>
        </is>
      </c>
      <c r="B294" s="1" t="n">
        <v>45804</v>
      </c>
      <c r="C294" s="1" t="n">
        <v>45839</v>
      </c>
      <c r="D294" t="inlineStr">
        <is>
          <t>JÖNKÖPINGS LÄN</t>
        </is>
      </c>
      <c r="E294" t="inlineStr">
        <is>
          <t>MULLSJÖ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26397-2025</t>
        </is>
      </c>
      <c r="B295" s="1" t="n">
        <v>45807</v>
      </c>
      <c r="C295" s="1" t="n">
        <v>45839</v>
      </c>
      <c r="D295" t="inlineStr">
        <is>
          <t>JÖNKÖPINGS LÄN</t>
        </is>
      </c>
      <c r="E295" t="inlineStr">
        <is>
          <t>MULLSJÖ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27413-2025</t>
        </is>
      </c>
      <c r="B296" s="1" t="n">
        <v>45812</v>
      </c>
      <c r="C296" s="1" t="n">
        <v>45839</v>
      </c>
      <c r="D296" t="inlineStr">
        <is>
          <t>JÖNKÖPINGS LÄN</t>
        </is>
      </c>
      <c r="E296" t="inlineStr">
        <is>
          <t>MULLSJÖ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27414-2025</t>
        </is>
      </c>
      <c r="B297" s="1" t="n">
        <v>45812</v>
      </c>
      <c r="C297" s="1" t="n">
        <v>45839</v>
      </c>
      <c r="D297" t="inlineStr">
        <is>
          <t>JÖNKÖPINGS LÄN</t>
        </is>
      </c>
      <c r="E297" t="inlineStr">
        <is>
          <t>MULLSJÖ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28940-2025</t>
        </is>
      </c>
      <c r="B298" s="1" t="n">
        <v>45820</v>
      </c>
      <c r="C298" s="1" t="n">
        <v>45839</v>
      </c>
      <c r="D298" t="inlineStr">
        <is>
          <t>JÖNKÖPINGS LÄN</t>
        </is>
      </c>
      <c r="E298" t="inlineStr">
        <is>
          <t>MULLSJÖ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28941-2025</t>
        </is>
      </c>
      <c r="B299" s="1" t="n">
        <v>45820</v>
      </c>
      <c r="C299" s="1" t="n">
        <v>45839</v>
      </c>
      <c r="D299" t="inlineStr">
        <is>
          <t>JÖNKÖPINGS LÄN</t>
        </is>
      </c>
      <c r="E299" t="inlineStr">
        <is>
          <t>MULLSJÖ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28942-2025</t>
        </is>
      </c>
      <c r="B300" s="1" t="n">
        <v>45820</v>
      </c>
      <c r="C300" s="1" t="n">
        <v>45839</v>
      </c>
      <c r="D300" t="inlineStr">
        <is>
          <t>JÖNKÖPINGS LÄN</t>
        </is>
      </c>
      <c r="E300" t="inlineStr">
        <is>
          <t>MULLSJÖ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32099-2025</t>
        </is>
      </c>
      <c r="B301" s="1" t="n">
        <v>45835</v>
      </c>
      <c r="C301" s="1" t="n">
        <v>45839</v>
      </c>
      <c r="D301" t="inlineStr">
        <is>
          <t>JÖNKÖPINGS LÄN</t>
        </is>
      </c>
      <c r="E301" t="inlineStr">
        <is>
          <t>MULLSJÖ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2025-07-01T19:01:03Z</dcterms:created>
  <dcterms:modified xmlns:dcterms="http://purl.org/dc/terms/" xmlns:xsi="http://www.w3.org/2001/XMLSchema-instance" xsi:type="dcterms:W3CDTF">2025-07-01T19:01:03Z</dcterms:modified>
</cp:coreProperties>
</file>