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46281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46281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46281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46281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46281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37686-2026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46281</v>
      </c>
      <c r="F12" t="inlineStr">
        <is>
          <t>JÖNKÖPINGS LÄN</t>
        </is>
      </c>
      <c r="G12" t="inlineStr">
        <is>
          <t>MULLSJÖ</t>
        </is>
      </c>
      <c r="I12" t="n">
        <v>5.1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Ask
Sommarfibbla
Svinrot</t>
        </is>
      </c>
      <c r="W12">
        <f>HYPERLINK("https://klasma.github.io/Logging_0642/artfynd/A 37686-2026 artfynd.xlsx", "A 37686-2026")</f>
        <v/>
      </c>
      <c r="X12">
        <f>HYPERLINK("https://klasma.github.io/Logging_0642/kartor/A 37686-2026 karta.png", "A 37686-2026")</f>
        <v/>
      </c>
      <c r="Y12">
        <f>HYPERLINK("https://klasma.github.io/Logging_0642/kartor_geotiff/A 37686-2026 georefererad karta.tif", "A 37686-2026")</f>
        <v/>
      </c>
      <c r="AA12">
        <f>HYPERLINK("https://klasma.github.io/Logging_0642/klagomål/A 37686-2026 FSC-klagomål.docx", "A 37686-2026")</f>
        <v/>
      </c>
      <c r="AB12">
        <f>HYPERLINK("https://klasma.github.io/Logging_0642/klagomålsmail/A 37686-2026 FSC-klagomål mail.docx", "A 37686-2026")</f>
        <v/>
      </c>
      <c r="AC12">
        <f>HYPERLINK("https://klasma.github.io/Logging_0642/tillsyn/A 37686-2026 tillsynsbegäran.docx", "A 37686-2026")</f>
        <v/>
      </c>
      <c r="AD12">
        <f>HYPERLINK("https://klasma.github.io/Logging_0642/tillsynsmail/A 37686-2026 tillsynsbegäran mail.docx", "A 37686-2026")</f>
        <v/>
      </c>
    </row>
    <row r="13" ht="15" customHeight="1">
      <c r="A13" t="inlineStr">
        <is>
          <t>A 55897-2021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44476</v>
      </c>
      <c r="E13" s="1" t="n">
        <v>46281</v>
      </c>
      <c r="F13" t="inlineStr">
        <is>
          <t>JÖNKÖPINGS LÄN</t>
        </is>
      </c>
      <c r="G13" t="inlineStr">
        <is>
          <t>MULLSJÖ</t>
        </is>
      </c>
      <c r="I13" t="n">
        <v>4.3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Kungsfågel</t>
        </is>
      </c>
      <c r="W13">
        <f>HYPERLINK("https://klasma.github.io/Logging_0642/artfynd/A 55897-2021 artfynd.xlsx", "A 55897-2021")</f>
        <v/>
      </c>
      <c r="X13">
        <f>HYPERLINK("https://klasma.github.io/Logging_0642/kartor/A 55897-2021 karta.png", "A 55897-2021")</f>
        <v/>
      </c>
      <c r="Y13">
        <f>HYPERLINK("https://klasma.github.io/Logging_0642/kartor_geotiff/A 55897-2021 georefererad karta.tif", "A 55897-2021")</f>
        <v/>
      </c>
      <c r="AA13">
        <f>HYPERLINK("https://klasma.github.io/Logging_0642/klagomål/A 55897-2021 FSC-klagomål.docx", "A 55897-2021")</f>
        <v/>
      </c>
      <c r="AB13">
        <f>HYPERLINK("https://klasma.github.io/Logging_0642/klagomålsmail/A 55897-2021 FSC-klagomål mail.docx", "A 55897-2021")</f>
        <v/>
      </c>
      <c r="AC13">
        <f>HYPERLINK("https://klasma.github.io/Logging_0642/tillsyn/A 55897-2021 tillsynsbegäran.docx", "A 55897-2021")</f>
        <v/>
      </c>
      <c r="AD13">
        <f>HYPERLINK("https://klasma.github.io/Logging_0642/tillsynsmail/A 55897-2021 tillsynsbegäran mail.docx", "A 55897-2021")</f>
        <v/>
      </c>
      <c r="AE13">
        <f>HYPERLINK("https://klasma.github.io/Logging_0642/fåglar/A 55897-2021 prioriterade fågelarter.docx", "A 55897-2021")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46281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A 7817-2024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45349</v>
      </c>
      <c r="E15" s="1" t="n">
        <v>46281</v>
      </c>
      <c r="F15" t="inlineStr">
        <is>
          <t>JÖNKÖPINGS LÄN</t>
        </is>
      </c>
      <c r="G15" t="inlineStr">
        <is>
          <t>MULLSJÖ</t>
        </is>
      </c>
      <c r="I15" t="n">
        <v>8.9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Huskvarnafibbla</t>
        </is>
      </c>
      <c r="W15">
        <f>HYPERLINK("https://klasma.github.io/Logging_0642/artfynd/A 7817-2024 artfynd.xlsx", "A 7817-2024")</f>
        <v/>
      </c>
      <c r="X15">
        <f>HYPERLINK("https://klasma.github.io/Logging_0642/kartor/A 7817-2024 karta.png", "A 7817-2024")</f>
        <v/>
      </c>
      <c r="Y15">
        <f>HYPERLINK("https://klasma.github.io/Logging_0642/kartor_geotiff/A 7817-2024 georefererad karta.tif", "A 7817-2024")</f>
        <v/>
      </c>
      <c r="AA15">
        <f>HYPERLINK("https://klasma.github.io/Logging_0642/klagomål/A 7817-2024 FSC-klagomål.docx", "A 7817-2024")</f>
        <v/>
      </c>
      <c r="AB15">
        <f>HYPERLINK("https://klasma.github.io/Logging_0642/klagomålsmail/A 7817-2024 FSC-klagomål mail.docx", "A 7817-2024")</f>
        <v/>
      </c>
      <c r="AC15">
        <f>HYPERLINK("https://klasma.github.io/Logging_0642/tillsyn/A 7817-2024 tillsynsbegäran.docx", "A 7817-2024")</f>
        <v/>
      </c>
      <c r="AD15">
        <f>HYPERLINK("https://klasma.github.io/Logging_0642/tillsynsmail/A 7817-2024 tillsynsbegäran mail.docx", "A 7817-2024")</f>
        <v/>
      </c>
    </row>
    <row r="16" ht="15" customHeight="1">
      <c r="A16" t="inlineStr">
        <is>
          <t>S 3854-2022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44747</v>
      </c>
      <c r="E16" s="1" t="n">
        <v>46281</v>
      </c>
      <c r="F16" t="inlineStr">
        <is>
          <t>JÖNKÖPINGS LÄN</t>
        </is>
      </c>
      <c r="G16" t="inlineStr">
        <is>
          <t>MULLSJÖ</t>
        </is>
      </c>
      <c r="I16" t="n">
        <v>45.6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Pärluggla
Orre</t>
        </is>
      </c>
      <c r="W16">
        <f>HYPERLINK("https://klasma.github.io/Logging_0642/artfynd/S 3854-2022 artfynd.xlsx", "S 3854-2022")</f>
        <v/>
      </c>
      <c r="X16">
        <f>HYPERLINK("https://klasma.github.io/Logging_0642/kartor/S 3854-2022 karta.png", "S 3854-2022")</f>
        <v/>
      </c>
      <c r="Y16">
        <f>HYPERLINK("https://klasma.github.io/Logging_0642/kartor_geotiff/S 3854-2022 georefererad karta.tif", "S 3854-2022")</f>
        <v/>
      </c>
      <c r="AA16">
        <f>HYPERLINK("https://klasma.github.io/Logging_0642/klagomål/S 3854-2022 FSC-klagomål.docx", "S 3854-2022")</f>
        <v/>
      </c>
      <c r="AB16">
        <f>HYPERLINK("https://klasma.github.io/Logging_0642/klagomålsmail/S 3854-2022 FSC-klagomål mail.docx", "S 3854-2022")</f>
        <v/>
      </c>
      <c r="AC16">
        <f>HYPERLINK("https://klasma.github.io/Logging_0642/tillsyn/S 3854-2022 tillsynsbegäran.docx", "S 3854-2022")</f>
        <v/>
      </c>
      <c r="AD16">
        <f>HYPERLINK("https://klasma.github.io/Logging_0642/tillsynsmail/S 3854-2022 tillsynsbegäran mail.docx", "S 3854-2022")</f>
        <v/>
      </c>
      <c r="AE16">
        <f>HYPERLINK("https://klasma.github.io/Logging_0642/fåglar/S 3854-2022 prioriterade fågelarter.docx", "S 3854-2022")</f>
        <v/>
      </c>
    </row>
    <row r="17" ht="15" customHeight="1">
      <c r="A17" t="inlineStr">
        <is>
          <t>A 47692-2022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46281</v>
      </c>
      <c r="F17" t="inlineStr">
        <is>
          <t>JÖNKÖPINGS LÄN</t>
        </is>
      </c>
      <c r="G17" t="inlineStr">
        <is>
          <t>MULLSJÖ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Orre</t>
        </is>
      </c>
      <c r="W17">
        <f>HYPERLINK("https://klasma.github.io/Logging_0642/artfynd/A 47692-2022 artfynd.xlsx", "A 47692-2022")</f>
        <v/>
      </c>
      <c r="X17">
        <f>HYPERLINK("https://klasma.github.io/Logging_0642/kartor/A 47692-2022 karta.png", "A 47692-2022")</f>
        <v/>
      </c>
      <c r="Y17">
        <f>HYPERLINK("https://klasma.github.io/Logging_0642/kartor_geotiff/A 47692-2022 georefererad karta.tif", "A 47692-2022")</f>
        <v/>
      </c>
      <c r="AA17">
        <f>HYPERLINK("https://klasma.github.io/Logging_0642/klagomål/A 47692-2022 FSC-klagomål.docx", "A 47692-2022")</f>
        <v/>
      </c>
      <c r="AB17">
        <f>HYPERLINK("https://klasma.github.io/Logging_0642/klagomålsmail/A 47692-2022 FSC-klagomål mail.docx", "A 47692-2022")</f>
        <v/>
      </c>
      <c r="AC17">
        <f>HYPERLINK("https://klasma.github.io/Logging_0642/tillsyn/A 47692-2022 tillsynsbegäran.docx", "A 47692-2022")</f>
        <v/>
      </c>
      <c r="AD17">
        <f>HYPERLINK("https://klasma.github.io/Logging_0642/tillsynsmail/A 47692-2022 tillsynsbegäran mail.docx", "A 47692-2022")</f>
        <v/>
      </c>
      <c r="AE17">
        <f>HYPERLINK("https://klasma.github.io/Logging_0642/fåglar/A 47692-2022 prioriterade fågelarter.docx", "A 47692-2022")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46281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46281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46281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62232-2022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44922</v>
      </c>
      <c r="E21" s="1" t="n">
        <v>46281</v>
      </c>
      <c r="F21" t="inlineStr">
        <is>
          <t>JÖNKÖPINGS LÄN</t>
        </is>
      </c>
      <c r="G21" t="inlineStr">
        <is>
          <t>MULLSJÖ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HYPERLINK("https://klasma.github.io/Logging_0642/artfynd/A 62232-2022 artfynd.xlsx", "A 62232-2022")</f>
        <v/>
      </c>
      <c r="X21">
        <f>HYPERLINK("https://klasma.github.io/Logging_0642/kartor/A 62232-2022 karta.png", "A 62232-2022")</f>
        <v/>
      </c>
      <c r="Y21">
        <f>HYPERLINK("https://klasma.github.io/Logging_0642/kartor_geotiff/A 62232-2022 georefererad karta.tif", "A 62232-2022")</f>
        <v/>
      </c>
      <c r="AA21">
        <f>HYPERLINK("https://klasma.github.io/Logging_0642/klagomål/A 62232-2022 FSC-klagomål.docx", "A 62232-2022")</f>
        <v/>
      </c>
      <c r="AB21">
        <f>HYPERLINK("https://klasma.github.io/Logging_0642/klagomålsmail/A 62232-2022 FSC-klagomål mail.docx", "A 62232-2022")</f>
        <v/>
      </c>
      <c r="AC21">
        <f>HYPERLINK("https://klasma.github.io/Logging_0642/tillsyn/A 62232-2022 tillsynsbegäran.docx", "A 62232-2022")</f>
        <v/>
      </c>
      <c r="AD21">
        <f>HYPERLINK("https://klasma.github.io/Logging_0642/tillsynsmail/A 62232-2022 tillsynsbegäran mail.docx", "A 62232-2022")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46281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46281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46281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46281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46281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46281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46281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46281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46281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46281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46281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46281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46281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46281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46281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46281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46281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46281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46281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46281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46281</v>
      </c>
      <c r="F42" t="inlineStr">
        <is>
          <t>JÖNKÖPINGS LÄN</t>
        </is>
      </c>
      <c r="G42" t="inlineStr">
        <is>
          <t>MULLSJÖ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46281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39353-2022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46281</v>
      </c>
      <c r="F44" t="inlineStr">
        <is>
          <t>JÖNKÖPINGS LÄN</t>
        </is>
      </c>
      <c r="G44" t="inlineStr">
        <is>
          <t>MULLSJÖ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46281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46281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44707</v>
      </c>
      <c r="E47" s="1" t="n">
        <v>46281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46281</v>
      </c>
      <c r="F48" t="inlineStr">
        <is>
          <t>JÖNKÖPINGS LÄN</t>
        </is>
      </c>
      <c r="G48" t="inlineStr">
        <is>
          <t>MULLSJÖ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46281</v>
      </c>
      <c r="F49" t="inlineStr">
        <is>
          <t>JÖNKÖPINGS LÄN</t>
        </is>
      </c>
      <c r="G49" t="inlineStr">
        <is>
          <t>MULLSJÖ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46281</v>
      </c>
      <c r="F50" t="inlineStr">
        <is>
          <t>JÖNKÖPINGS LÄN</t>
        </is>
      </c>
      <c r="G50" t="inlineStr">
        <is>
          <t>MULLSJÖ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45877</v>
      </c>
      <c r="E51" s="1" t="n">
        <v>46281</v>
      </c>
      <c r="F51" t="inlineStr">
        <is>
          <t>JÖNKÖPINGS LÄN</t>
        </is>
      </c>
      <c r="G51" t="inlineStr">
        <is>
          <t>MULLSJÖ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37424-2025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45877</v>
      </c>
      <c r="E52" s="1" t="n">
        <v>46281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34914-2022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44796</v>
      </c>
      <c r="E53" s="1" t="n">
        <v>46281</v>
      </c>
      <c r="F53" t="inlineStr">
        <is>
          <t>JÖNKÖPINGS LÄN</t>
        </is>
      </c>
      <c r="G53" t="inlineStr">
        <is>
          <t>MULLSJÖ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42872-2022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44832</v>
      </c>
      <c r="E54" s="1" t="n">
        <v>46281</v>
      </c>
      <c r="F54" t="inlineStr">
        <is>
          <t>JÖNKÖPINGS LÄN</t>
        </is>
      </c>
      <c r="G54" t="inlineStr">
        <is>
          <t>MULLSJÖ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45455</v>
      </c>
      <c r="E55" s="1" t="n">
        <v>46281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11515-2024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45372</v>
      </c>
      <c r="E56" s="1" t="n">
        <v>46281</v>
      </c>
      <c r="F56" t="inlineStr">
        <is>
          <t>JÖNKÖPINGS LÄN</t>
        </is>
      </c>
      <c r="G56" t="inlineStr">
        <is>
          <t>MULLSJÖ</t>
        </is>
      </c>
      <c r="H56" t="inlineStr">
        <is>
          <t>Kyrkan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45313</v>
      </c>
      <c r="E57" s="1" t="n">
        <v>46281</v>
      </c>
      <c r="F57" t="inlineStr">
        <is>
          <t>JÖNKÖPINGS LÄN</t>
        </is>
      </c>
      <c r="G57" t="inlineStr">
        <is>
          <t>MULLSJÖ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46281</v>
      </c>
      <c r="F58" t="inlineStr">
        <is>
          <t>JÖNKÖPINGS LÄN</t>
        </is>
      </c>
      <c r="G58" t="inlineStr">
        <is>
          <t>MULLSJÖ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46281</v>
      </c>
      <c r="F59" t="inlineStr">
        <is>
          <t>JÖNKÖPINGS LÄN</t>
        </is>
      </c>
      <c r="G59" t="inlineStr">
        <is>
          <t>MULLSJÖ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46281</v>
      </c>
      <c r="F60" t="inlineStr">
        <is>
          <t>JÖNKÖPINGS LÄN</t>
        </is>
      </c>
      <c r="G60" t="inlineStr">
        <is>
          <t>MULLSJÖ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46281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46281</v>
      </c>
      <c r="F62" t="inlineStr">
        <is>
          <t>JÖNKÖPINGS LÄN</t>
        </is>
      </c>
      <c r="G62" t="inlineStr">
        <is>
          <t>MULLSJÖ</t>
        </is>
      </c>
      <c r="I62" t="n">
        <v>10.9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46281</v>
      </c>
      <c r="F63" t="inlineStr">
        <is>
          <t>JÖNKÖPINGS LÄN</t>
        </is>
      </c>
      <c r="G63" t="inlineStr">
        <is>
          <t>MULLSJÖ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45529</v>
      </c>
      <c r="E64" s="1" t="n">
        <v>46281</v>
      </c>
      <c r="F64" t="inlineStr">
        <is>
          <t>JÖNKÖPINGS LÄN</t>
        </is>
      </c>
      <c r="G64" t="inlineStr">
        <is>
          <t>MULLSJÖ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46281</v>
      </c>
      <c r="F65" t="inlineStr">
        <is>
          <t>JÖNKÖPINGS LÄN</t>
        </is>
      </c>
      <c r="G65" t="inlineStr">
        <is>
          <t>MULLSJÖ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12351-2026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46088</v>
      </c>
      <c r="E66" s="1" t="n">
        <v>46281</v>
      </c>
      <c r="F66" t="inlineStr">
        <is>
          <t>JÖNKÖPINGS LÄN</t>
        </is>
      </c>
      <c r="G66" t="inlineStr">
        <is>
          <t>MULLSJÖ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46281</v>
      </c>
      <c r="F67" t="inlineStr">
        <is>
          <t>JÖNKÖPINGS LÄN</t>
        </is>
      </c>
      <c r="G67" t="inlineStr">
        <is>
          <t>MULLSJÖ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44889</v>
      </c>
      <c r="E68" s="1" t="n">
        <v>46281</v>
      </c>
      <c r="F68" t="inlineStr">
        <is>
          <t>JÖNKÖPINGS LÄN</t>
        </is>
      </c>
      <c r="G68" t="inlineStr">
        <is>
          <t>MULLSJÖ</t>
        </is>
      </c>
      <c r="I68" t="n">
        <v>14.1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45521</v>
      </c>
      <c r="E69" s="1" t="n">
        <v>46281</v>
      </c>
      <c r="F69" t="inlineStr">
        <is>
          <t>JÖNKÖPINGS LÄN</t>
        </is>
      </c>
      <c r="G69" t="inlineStr">
        <is>
          <t>MULLSJÖ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46281</v>
      </c>
      <c r="F70" t="inlineStr">
        <is>
          <t>JÖNKÖPINGS LÄN</t>
        </is>
      </c>
      <c r="G70" t="inlineStr">
        <is>
          <t>MULLSJÖ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46281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46281</v>
      </c>
      <c r="F72" t="inlineStr">
        <is>
          <t>JÖNKÖPINGS LÄN</t>
        </is>
      </c>
      <c r="G72" t="inlineStr">
        <is>
          <t>MULLSJÖ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46281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14226-2024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45393</v>
      </c>
      <c r="E74" s="1" t="n">
        <v>46281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46281</v>
      </c>
      <c r="F75" t="inlineStr">
        <is>
          <t>JÖNKÖPINGS LÄN</t>
        </is>
      </c>
      <c r="G75" t="inlineStr">
        <is>
          <t>MULLSJÖ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6690-2023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44966</v>
      </c>
      <c r="E76" s="1" t="n">
        <v>46281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46281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28791-2024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45478</v>
      </c>
      <c r="E78" s="1" t="n">
        <v>46281</v>
      </c>
      <c r="F78" t="inlineStr">
        <is>
          <t>JÖNKÖPINGS LÄN</t>
        </is>
      </c>
      <c r="G78" t="inlineStr">
        <is>
          <t>MULLSJÖ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46281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46281</v>
      </c>
      <c r="F80" t="inlineStr">
        <is>
          <t>JÖNKÖPINGS LÄN</t>
        </is>
      </c>
      <c r="G80" t="inlineStr">
        <is>
          <t>MULLSJÖ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45553</v>
      </c>
      <c r="E81" s="1" t="n">
        <v>46281</v>
      </c>
      <c r="F81" t="inlineStr">
        <is>
          <t>JÖNKÖPINGS LÄN</t>
        </is>
      </c>
      <c r="G81" t="inlineStr">
        <is>
          <t>MULLSJÖ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46281</v>
      </c>
      <c r="F82" t="inlineStr">
        <is>
          <t>JÖNKÖPINGS LÄN</t>
        </is>
      </c>
      <c r="G82" t="inlineStr">
        <is>
          <t>MULLSJÖ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45928</v>
      </c>
      <c r="E83" s="1" t="n">
        <v>46281</v>
      </c>
      <c r="F83" t="inlineStr">
        <is>
          <t>JÖNKÖPINGS LÄN</t>
        </is>
      </c>
      <c r="G83" t="inlineStr">
        <is>
          <t>MULLSJÖ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18421-2026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46126</v>
      </c>
      <c r="E84" s="1" t="n">
        <v>46281</v>
      </c>
      <c r="F84" t="inlineStr">
        <is>
          <t>JÖNKÖPINGS LÄN</t>
        </is>
      </c>
      <c r="G84" t="inlineStr">
        <is>
          <t>MULLSJÖ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46281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11281-2024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45371</v>
      </c>
      <c r="E86" s="1" t="n">
        <v>46281</v>
      </c>
      <c r="F86" t="inlineStr">
        <is>
          <t>JÖNKÖPINGS LÄN</t>
        </is>
      </c>
      <c r="G86" t="inlineStr">
        <is>
          <t>MULLSJÖ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46281</v>
      </c>
      <c r="F87" t="inlineStr">
        <is>
          <t>JÖNKÖPINGS LÄN</t>
        </is>
      </c>
      <c r="G87" t="inlineStr">
        <is>
          <t>MULLSJÖ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46281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44954</v>
      </c>
      <c r="E89" s="1" t="n">
        <v>46281</v>
      </c>
      <c r="F89" t="inlineStr">
        <is>
          <t>JÖNKÖPINGS LÄN</t>
        </is>
      </c>
      <c r="G89" t="inlineStr">
        <is>
          <t>MULLSJÖ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46281</v>
      </c>
      <c r="F90" t="inlineStr">
        <is>
          <t>JÖNKÖPINGS LÄN</t>
        </is>
      </c>
      <c r="G90" t="inlineStr">
        <is>
          <t>MULLSJÖ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46281</v>
      </c>
      <c r="F91" t="inlineStr">
        <is>
          <t>JÖNKÖPINGS LÄN</t>
        </is>
      </c>
      <c r="G91" t="inlineStr">
        <is>
          <t>MULLSJÖ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46281</v>
      </c>
      <c r="F92" t="inlineStr">
        <is>
          <t>JÖNKÖPINGS LÄN</t>
        </is>
      </c>
      <c r="G92" t="inlineStr">
        <is>
          <t>MULLSJÖ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46281</v>
      </c>
      <c r="F93" t="inlineStr">
        <is>
          <t>JÖNKÖPINGS LÄN</t>
        </is>
      </c>
      <c r="G93" t="inlineStr">
        <is>
          <t>MULLSJÖ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46281</v>
      </c>
      <c r="F94" t="inlineStr">
        <is>
          <t>JÖNKÖPINGS LÄN</t>
        </is>
      </c>
      <c r="G94" t="inlineStr">
        <is>
          <t>MULLSJÖ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44993</v>
      </c>
      <c r="E95" s="1" t="n">
        <v>46281</v>
      </c>
      <c r="F95" t="inlineStr">
        <is>
          <t>JÖNKÖPINGS LÄN</t>
        </is>
      </c>
      <c r="G95" t="inlineStr">
        <is>
          <t>MULLSJÖ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46281</v>
      </c>
      <c r="F96" t="inlineStr">
        <is>
          <t>JÖNKÖPINGS LÄN</t>
        </is>
      </c>
      <c r="G96" t="inlineStr">
        <is>
          <t>MULLSJÖ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12273-2023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44998</v>
      </c>
      <c r="E97" s="1" t="n">
        <v>46281</v>
      </c>
      <c r="F97" t="inlineStr">
        <is>
          <t>JÖNKÖPINGS LÄN</t>
        </is>
      </c>
      <c r="G97" t="inlineStr">
        <is>
          <t>MULLSJÖ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46281</v>
      </c>
      <c r="F98" t="inlineStr">
        <is>
          <t>JÖNKÖPINGS LÄN</t>
        </is>
      </c>
      <c r="G98" t="inlineStr">
        <is>
          <t>MULLSJÖ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45450</v>
      </c>
      <c r="E99" s="1" t="n">
        <v>46281</v>
      </c>
      <c r="F99" t="inlineStr">
        <is>
          <t>JÖNKÖPINGS LÄN</t>
        </is>
      </c>
      <c r="G99" t="inlineStr">
        <is>
          <t>MULLSJÖ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46281</v>
      </c>
      <c r="F100" t="inlineStr">
        <is>
          <t>JÖNKÖPINGS LÄN</t>
        </is>
      </c>
      <c r="G100" t="inlineStr">
        <is>
          <t>MULLSJÖ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46281</v>
      </c>
      <c r="F101" t="inlineStr">
        <is>
          <t>JÖNKÖPINGS LÄN</t>
        </is>
      </c>
      <c r="G101" t="inlineStr">
        <is>
          <t>MULLSJÖ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46281</v>
      </c>
      <c r="F102" t="inlineStr">
        <is>
          <t>JÖNKÖPINGS LÄN</t>
        </is>
      </c>
      <c r="G102" t="inlineStr">
        <is>
          <t>MULLSJÖ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46281</v>
      </c>
      <c r="F103" t="inlineStr">
        <is>
          <t>JÖNKÖPINGS LÄN</t>
        </is>
      </c>
      <c r="G103" t="inlineStr">
        <is>
          <t>MULLSJÖ</t>
        </is>
      </c>
      <c r="H103" t="inlineStr">
        <is>
          <t>Kommuner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  <c r="Z103">
        <f>HYPERLINK("https://klasma.github.io/Logging_0642/knärot/A 7181-2023 karta knärot.png", "A 7181-2023")</f>
        <v/>
      </c>
      <c r="AA103">
        <f>HYPERLINK("https://klasma.github.io/Logging_0642/klagomål/A 7181-2023 FSC-klagomål.docx", "A 7181-2023")</f>
        <v/>
      </c>
      <c r="AB103">
        <f>HYPERLINK("https://klasma.github.io/Logging_0642/klagomålsmail/A 7181-2023 FSC-klagomål mail.docx", "A 7181-2023")</f>
        <v/>
      </c>
      <c r="AC103">
        <f>HYPERLINK("https://klasma.github.io/Logging_0642/tillsyn/A 7181-2023 tillsynsbegäran.docx", "A 7181-2023")</f>
        <v/>
      </c>
      <c r="AD103">
        <f>HYPERLINK("https://klasma.github.io/Logging_0642/tillsynsmail/A 7181-2023 tillsynsbegäran mail.docx", "A 7181-2023")</f>
        <v/>
      </c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46281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71048-2021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44538</v>
      </c>
      <c r="E105" s="1" t="n">
        <v>46281</v>
      </c>
      <c r="F105" t="inlineStr">
        <is>
          <t>JÖNKÖPINGS LÄN</t>
        </is>
      </c>
      <c r="G105" t="inlineStr">
        <is>
          <t>MULLSJÖ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45083</v>
      </c>
      <c r="E106" s="1" t="n">
        <v>46281</v>
      </c>
      <c r="F106" t="inlineStr">
        <is>
          <t>JÖNKÖPINGS LÄN</t>
        </is>
      </c>
      <c r="G106" t="inlineStr">
        <is>
          <t>MULLSJÖ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46281</v>
      </c>
      <c r="F107" t="inlineStr">
        <is>
          <t>JÖNKÖPINGS LÄN</t>
        </is>
      </c>
      <c r="G107" t="inlineStr">
        <is>
          <t>MULLSJÖ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46281</v>
      </c>
      <c r="F108" t="inlineStr">
        <is>
          <t>JÖNKÖPINGS LÄN</t>
        </is>
      </c>
      <c r="G108" t="inlineStr">
        <is>
          <t>MULLSJÖ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62586-2025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46007</v>
      </c>
      <c r="E109" s="1" t="n">
        <v>46281</v>
      </c>
      <c r="F109" t="inlineStr">
        <is>
          <t>JÖNKÖPINGS LÄN</t>
        </is>
      </c>
      <c r="G109" t="inlineStr">
        <is>
          <t>MULLSJÖ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46281</v>
      </c>
      <c r="F110" t="inlineStr">
        <is>
          <t>JÖNKÖPINGS LÄN</t>
        </is>
      </c>
      <c r="G110" t="inlineStr">
        <is>
          <t>MULLSJÖ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46281</v>
      </c>
      <c r="F111" t="inlineStr">
        <is>
          <t>JÖNKÖPINGS LÄN</t>
        </is>
      </c>
      <c r="G111" t="inlineStr">
        <is>
          <t>MULLSJÖ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56876-2023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45244</v>
      </c>
      <c r="E112" s="1" t="n">
        <v>46281</v>
      </c>
      <c r="F112" t="inlineStr">
        <is>
          <t>JÖNKÖPINGS LÄN</t>
        </is>
      </c>
      <c r="G112" t="inlineStr">
        <is>
          <t>MULLSJÖ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45752</v>
      </c>
      <c r="E113" s="1" t="n">
        <v>46281</v>
      </c>
      <c r="F113" t="inlineStr">
        <is>
          <t>JÖNKÖPINGS LÄN</t>
        </is>
      </c>
      <c r="G113" t="inlineStr">
        <is>
          <t>MULLSJÖ</t>
        </is>
      </c>
      <c r="I113" t="n">
        <v>9.6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46281</v>
      </c>
      <c r="F114" t="inlineStr">
        <is>
          <t>JÖNKÖPINGS LÄN</t>
        </is>
      </c>
      <c r="G114" t="inlineStr">
        <is>
          <t>MULLSJÖ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46281</v>
      </c>
      <c r="F115" t="inlineStr">
        <is>
          <t>JÖNKÖPINGS LÄN</t>
        </is>
      </c>
      <c r="G115" t="inlineStr">
        <is>
          <t>MULLSJÖ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46281</v>
      </c>
      <c r="F116" t="inlineStr">
        <is>
          <t>JÖNKÖPINGS LÄN</t>
        </is>
      </c>
      <c r="G116" t="inlineStr">
        <is>
          <t>MULLSJÖ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46281</v>
      </c>
      <c r="F117" t="inlineStr">
        <is>
          <t>JÖNKÖPINGS LÄN</t>
        </is>
      </c>
      <c r="G117" t="inlineStr">
        <is>
          <t>MULLSJÖ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45016</v>
      </c>
      <c r="E118" s="1" t="n">
        <v>46281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46281</v>
      </c>
      <c r="F119" t="inlineStr">
        <is>
          <t>JÖNKÖPINGS LÄN</t>
        </is>
      </c>
      <c r="G119" t="inlineStr">
        <is>
          <t>MULLSJÖ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46281</v>
      </c>
      <c r="F120" t="inlineStr">
        <is>
          <t>JÖNKÖPINGS LÄN</t>
        </is>
      </c>
      <c r="G120" t="inlineStr">
        <is>
          <t>MULLSJÖ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45752</v>
      </c>
      <c r="E121" s="1" t="n">
        <v>46281</v>
      </c>
      <c r="F121" t="inlineStr">
        <is>
          <t>JÖNKÖPINGS LÄN</t>
        </is>
      </c>
      <c r="G121" t="inlineStr">
        <is>
          <t>MULLSJÖ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46281</v>
      </c>
      <c r="F122" t="inlineStr">
        <is>
          <t>JÖNKÖPINGS LÄN</t>
        </is>
      </c>
      <c r="G122" t="inlineStr">
        <is>
          <t>MULLSJÖ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45495</v>
      </c>
      <c r="E123" s="1" t="n">
        <v>46281</v>
      </c>
      <c r="F123" t="inlineStr">
        <is>
          <t>JÖNKÖPINGS LÄN</t>
        </is>
      </c>
      <c r="G123" t="inlineStr">
        <is>
          <t>MULLSJÖ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45313</v>
      </c>
      <c r="E124" s="1" t="n">
        <v>46281</v>
      </c>
      <c r="F124" t="inlineStr">
        <is>
          <t>JÖNKÖPINGS LÄN</t>
        </is>
      </c>
      <c r="G124" t="inlineStr">
        <is>
          <t>MULLSJÖ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44954</v>
      </c>
      <c r="E125" s="1" t="n">
        <v>46281</v>
      </c>
      <c r="F125" t="inlineStr">
        <is>
          <t>JÖNKÖPINGS LÄN</t>
        </is>
      </c>
      <c r="G125" t="inlineStr">
        <is>
          <t>MULLSJÖ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44954</v>
      </c>
      <c r="E126" s="1" t="n">
        <v>46281</v>
      </c>
      <c r="F126" t="inlineStr">
        <is>
          <t>JÖNKÖPINGS LÄN</t>
        </is>
      </c>
      <c r="G126" t="inlineStr">
        <is>
          <t>MULLSJÖ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44992</v>
      </c>
      <c r="E127" s="1" t="n">
        <v>46281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46281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44938</v>
      </c>
      <c r="E129" s="1" t="n">
        <v>46281</v>
      </c>
      <c r="F129" t="inlineStr">
        <is>
          <t>JÖNKÖPINGS LÄN</t>
        </is>
      </c>
      <c r="G129" t="inlineStr">
        <is>
          <t>MULLSJÖ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46281</v>
      </c>
      <c r="F130" t="inlineStr">
        <is>
          <t>JÖNKÖPINGS LÄN</t>
        </is>
      </c>
      <c r="G130" t="inlineStr">
        <is>
          <t>MULLSJÖ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46281</v>
      </c>
      <c r="F131" t="inlineStr">
        <is>
          <t>JÖNKÖPINGS LÄN</t>
        </is>
      </c>
      <c r="G131" t="inlineStr">
        <is>
          <t>MULLSJÖ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17011-2025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45755</v>
      </c>
      <c r="E132" s="1" t="n">
        <v>46281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45305</v>
      </c>
      <c r="E133" s="1" t="n">
        <v>46281</v>
      </c>
      <c r="F133" t="inlineStr">
        <is>
          <t>JÖNKÖPINGS LÄN</t>
        </is>
      </c>
      <c r="G133" t="inlineStr">
        <is>
          <t>MULLSJÖ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46197</v>
      </c>
      <c r="E134" s="1" t="n">
        <v>46281</v>
      </c>
      <c r="F134" t="inlineStr">
        <is>
          <t>JÖNKÖPINGS LÄN</t>
        </is>
      </c>
      <c r="G134" t="inlineStr">
        <is>
          <t>MULLSJÖ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28517-2026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46197</v>
      </c>
      <c r="E135" s="1" t="n">
        <v>46281</v>
      </c>
      <c r="F135" t="inlineStr">
        <is>
          <t>JÖNKÖPINGS LÄN</t>
        </is>
      </c>
      <c r="G135" t="inlineStr">
        <is>
          <t>MULLSJÖ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32699-2026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46240</v>
      </c>
      <c r="E136" s="1" t="n">
        <v>46281</v>
      </c>
      <c r="F136" t="inlineStr">
        <is>
          <t>JÖNKÖPINGS LÄN</t>
        </is>
      </c>
      <c r="G136" t="inlineStr">
        <is>
          <t>MULLSJÖ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45446</v>
      </c>
      <c r="E137" s="1" t="n">
        <v>46281</v>
      </c>
      <c r="F137" t="inlineStr">
        <is>
          <t>JÖNKÖPINGS LÄN</t>
        </is>
      </c>
      <c r="G137" t="inlineStr">
        <is>
          <t>MULLSJÖ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46281</v>
      </c>
      <c r="F138" t="inlineStr">
        <is>
          <t>JÖNKÖPINGS LÄN</t>
        </is>
      </c>
      <c r="G138" t="inlineStr">
        <is>
          <t>MULLSJÖ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46281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46246</v>
      </c>
      <c r="E140" s="1" t="n">
        <v>46281</v>
      </c>
      <c r="F140" t="inlineStr">
        <is>
          <t>JÖNKÖPINGS LÄN</t>
        </is>
      </c>
      <c r="G140" t="inlineStr">
        <is>
          <t>MULLSJÖ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46281</v>
      </c>
      <c r="F141" t="inlineStr">
        <is>
          <t>JÖNKÖPINGS LÄN</t>
        </is>
      </c>
      <c r="G141" t="inlineStr">
        <is>
          <t>MULLSJÖ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45543</v>
      </c>
      <c r="E142" s="1" t="n">
        <v>46281</v>
      </c>
      <c r="F142" t="inlineStr">
        <is>
          <t>JÖNKÖPINGS LÄN</t>
        </is>
      </c>
      <c r="G142" t="inlineStr">
        <is>
          <t>MULLSJÖ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45543</v>
      </c>
      <c r="E143" s="1" t="n">
        <v>46281</v>
      </c>
      <c r="F143" t="inlineStr">
        <is>
          <t>JÖNKÖPINGS LÄN</t>
        </is>
      </c>
      <c r="G143" t="inlineStr">
        <is>
          <t>MULLSJÖ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45752</v>
      </c>
      <c r="E144" s="1" t="n">
        <v>46281</v>
      </c>
      <c r="F144" t="inlineStr">
        <is>
          <t>JÖNKÖPINGS LÄN</t>
        </is>
      </c>
      <c r="G144" t="inlineStr">
        <is>
          <t>MULLSJÖ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45676</v>
      </c>
      <c r="E145" s="1" t="n">
        <v>46281</v>
      </c>
      <c r="F145" t="inlineStr">
        <is>
          <t>JÖNKÖPINGS LÄN</t>
        </is>
      </c>
      <c r="G145" t="inlineStr">
        <is>
          <t>MULLSJÖ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46281</v>
      </c>
      <c r="F146" t="inlineStr">
        <is>
          <t>JÖNKÖPINGS LÄN</t>
        </is>
      </c>
      <c r="G146" t="inlineStr">
        <is>
          <t>MULLSJÖ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46281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46281</v>
      </c>
      <c r="F148" t="inlineStr">
        <is>
          <t>JÖNKÖPINGS LÄN</t>
        </is>
      </c>
      <c r="G148" t="inlineStr">
        <is>
          <t>MULLSJÖ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46281</v>
      </c>
      <c r="F149" t="inlineStr">
        <is>
          <t>JÖNKÖPINGS LÄN</t>
        </is>
      </c>
      <c r="G149" t="inlineStr">
        <is>
          <t>MULLSJÖ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45682</v>
      </c>
      <c r="E150" s="1" t="n">
        <v>46281</v>
      </c>
      <c r="F150" t="inlineStr">
        <is>
          <t>JÖNKÖPINGS LÄN</t>
        </is>
      </c>
      <c r="G150" t="inlineStr">
        <is>
          <t>MULLSJÖ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46281</v>
      </c>
      <c r="F151" t="inlineStr">
        <is>
          <t>JÖNKÖPINGS LÄN</t>
        </is>
      </c>
      <c r="G151" t="inlineStr">
        <is>
          <t>MULLSJÖ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45686</v>
      </c>
      <c r="E152" s="1" t="n">
        <v>46281</v>
      </c>
      <c r="F152" t="inlineStr">
        <is>
          <t>JÖNKÖPINGS LÄN</t>
        </is>
      </c>
      <c r="G152" t="inlineStr">
        <is>
          <t>MULLSJÖ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46216</v>
      </c>
      <c r="E153" s="1" t="n">
        <v>46281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46281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46281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45214</v>
      </c>
      <c r="E156" s="1" t="n">
        <v>46281</v>
      </c>
      <c r="F156" t="inlineStr">
        <is>
          <t>JÖNKÖPINGS LÄN</t>
        </is>
      </c>
      <c r="G156" t="inlineStr">
        <is>
          <t>MULLSJÖ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46281</v>
      </c>
      <c r="F157" t="inlineStr">
        <is>
          <t>JÖNKÖPINGS LÄN</t>
        </is>
      </c>
      <c r="G157" t="inlineStr">
        <is>
          <t>MULLSJÖ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46216</v>
      </c>
      <c r="E158" s="1" t="n">
        <v>46281</v>
      </c>
      <c r="F158" t="inlineStr">
        <is>
          <t>JÖNKÖPINGS LÄN</t>
        </is>
      </c>
      <c r="G158" t="inlineStr">
        <is>
          <t>MULLSJÖ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46281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46260</v>
      </c>
      <c r="E160" s="1" t="n">
        <v>46281</v>
      </c>
      <c r="F160" t="inlineStr">
        <is>
          <t>JÖNKÖPINGS LÄN</t>
        </is>
      </c>
      <c r="G160" t="inlineStr">
        <is>
          <t>MULLSJÖ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46281</v>
      </c>
      <c r="F161" t="inlineStr">
        <is>
          <t>JÖNKÖPINGS LÄN</t>
        </is>
      </c>
      <c r="G161" t="inlineStr">
        <is>
          <t>MULLSJÖ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46268</v>
      </c>
      <c r="E162" s="1" t="n">
        <v>46281</v>
      </c>
      <c r="F162" t="inlineStr">
        <is>
          <t>JÖNKÖPINGS LÄN</t>
        </is>
      </c>
      <c r="G162" t="inlineStr">
        <is>
          <t>MULLSJÖ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46281</v>
      </c>
      <c r="F163" t="inlineStr">
        <is>
          <t>JÖNKÖPINGS LÄN</t>
        </is>
      </c>
      <c r="G163" t="inlineStr">
        <is>
          <t>MULLSJÖ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46268</v>
      </c>
      <c r="E164" s="1" t="n">
        <v>46281</v>
      </c>
      <c r="F164" t="inlineStr">
        <is>
          <t>JÖNKÖPINGS LÄN</t>
        </is>
      </c>
      <c r="G164" t="inlineStr">
        <is>
          <t>MULLSJÖ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44700</v>
      </c>
      <c r="E165" s="1" t="n">
        <v>46281</v>
      </c>
      <c r="F165" t="inlineStr">
        <is>
          <t>JÖNKÖPINGS LÄN</t>
        </is>
      </c>
      <c r="G165" t="inlineStr">
        <is>
          <t>MULLSJÖ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46281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46281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46232</v>
      </c>
      <c r="E168" s="1" t="n">
        <v>46281</v>
      </c>
      <c r="F168" t="inlineStr">
        <is>
          <t>JÖNKÖPINGS LÄN</t>
        </is>
      </c>
      <c r="G168" t="inlineStr">
        <is>
          <t>MULLSJÖ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37124-2026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46274</v>
      </c>
      <c r="E169" s="1" t="n">
        <v>46281</v>
      </c>
      <c r="F169" t="inlineStr">
        <is>
          <t>JÖNKÖPINGS LÄN</t>
        </is>
      </c>
      <c r="G169" t="inlineStr">
        <is>
          <t>MULLSJÖ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46281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46281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46281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46281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46281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46281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46281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46281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46281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46281</v>
      </c>
      <c r="F179" t="inlineStr">
        <is>
          <t>JÖNKÖPINGS LÄN</t>
        </is>
      </c>
      <c r="G179" t="inlineStr">
        <is>
          <t>MULLSJÖ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46281</v>
      </c>
      <c r="F180" t="inlineStr">
        <is>
          <t>JÖNKÖPINGS LÄN</t>
        </is>
      </c>
      <c r="G180" t="inlineStr">
        <is>
          <t>MULLSJÖ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46281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46281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46281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2026-09-16T02:04:49Z</dcterms:created>
  <dcterms:modified xmlns:dcterms="http://purl.org/dc/terms/" xmlns:xsi="http://www.w3.org/2001/XMLSchema-instance" xsi:type="dcterms:W3CDTF">2026-09-16T02:04:50Z</dcterms:modified>
</cp:coreProperties>
</file>