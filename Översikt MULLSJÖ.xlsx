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46198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</v>
      </c>
      <c r="C3" s="1" t="n">
        <v>46198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Brunpudrad nållav
Stor sotdyna
Grön sköldmossa
Gulnål
Kornig nållav
Lönnlav
Bandpraktmossa
Kransmossa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46198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2</v>
      </c>
      <c r="I4" t="n">
        <v>3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Knärot
Sandödla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45507-2024</t>
        </is>
      </c>
      <c r="B5" s="1" t="n">
        <v>45578</v>
      </c>
      <c r="C5" s="1" t="n">
        <v>46198</v>
      </c>
      <c r="D5" t="inlineStr">
        <is>
          <t>JÖNKÖPINGS LÄN</t>
        </is>
      </c>
      <c r="E5" t="inlineStr">
        <is>
          <t>MULLSJÖ</t>
        </is>
      </c>
      <c r="G5" t="n">
        <v>1.7</v>
      </c>
      <c r="H5" t="n">
        <v>1</v>
      </c>
      <c r="I5" t="n">
        <v>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Ask
Knärot
Lönnlav</t>
        </is>
      </c>
      <c r="S5">
        <f>HYPERLINK("https://klasma.github.io/Logging_0642/artfynd/A 45507-2024 artfynd.xlsx", "A 45507-2024")</f>
        <v/>
      </c>
      <c r="T5">
        <f>HYPERLINK("https://klasma.github.io/Logging_0642/kartor/A 45507-2024 karta.png", "A 45507-2024")</f>
        <v/>
      </c>
      <c r="U5">
        <f>HYPERLINK("https://klasma.github.io/Logging_0642/knärot/A 45507-2024 karta knärot.png", "A 45507-2024")</f>
        <v/>
      </c>
      <c r="V5">
        <f>HYPERLINK("https://klasma.github.io/Logging_0642/klagomål/A 45507-2024 FSC-klagomål.docx", "A 45507-2024")</f>
        <v/>
      </c>
      <c r="W5">
        <f>HYPERLINK("https://klasma.github.io/Logging_0642/klagomålsmail/A 45507-2024 FSC-klagomål mail.docx", "A 45507-2024")</f>
        <v/>
      </c>
      <c r="X5">
        <f>HYPERLINK("https://klasma.github.io/Logging_0642/tillsyn/A 45507-2024 tillsynsbegäran.docx", "A 45507-2024")</f>
        <v/>
      </c>
      <c r="Y5">
        <f>HYPERLINK("https://klasma.github.io/Logging_0642/tillsynsmail/A 45507-2024 tillsynsbegäran mail.docx", "A 45507-2024")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46198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Sommarfibbla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55897-2021</t>
        </is>
      </c>
      <c r="B7" s="1" t="n">
        <v>44476</v>
      </c>
      <c r="C7" s="1" t="n">
        <v>46198</v>
      </c>
      <c r="D7" t="inlineStr">
        <is>
          <t>JÖNKÖPINGS LÄN</t>
        </is>
      </c>
      <c r="E7" t="inlineStr">
        <is>
          <t>MULLSJÖ</t>
        </is>
      </c>
      <c r="G7" t="n">
        <v>4.3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Spillkråka
Kungsfågel</t>
        </is>
      </c>
      <c r="S7">
        <f>HYPERLINK("https://klasma.github.io/Logging_0642/artfynd/A 55897-2021 artfynd.xlsx", "A 55897-2021")</f>
        <v/>
      </c>
      <c r="T7">
        <f>HYPERLINK("https://klasma.github.io/Logging_0642/kartor/A 55897-2021 karta.png", "A 55897-2021")</f>
        <v/>
      </c>
      <c r="V7">
        <f>HYPERLINK("https://klasma.github.io/Logging_0642/klagomål/A 55897-2021 FSC-klagomål.docx", "A 55897-2021")</f>
        <v/>
      </c>
      <c r="W7">
        <f>HYPERLINK("https://klasma.github.io/Logging_0642/klagomålsmail/A 55897-2021 FSC-klagomål mail.docx", "A 55897-2021")</f>
        <v/>
      </c>
      <c r="X7">
        <f>HYPERLINK("https://klasma.github.io/Logging_0642/tillsyn/A 55897-2021 tillsynsbegäran.docx", "A 55897-2021")</f>
        <v/>
      </c>
      <c r="Y7">
        <f>HYPERLINK("https://klasma.github.io/Logging_0642/tillsynsmail/A 55897-2021 tillsynsbegäran mail.docx", "A 55897-2021")</f>
        <v/>
      </c>
      <c r="Z7">
        <f>HYPERLINK("https://klasma.github.io/Logging_0642/fåglar/A 55897-2021 prioriterade fågelarter.docx", "A 55897-2021")</f>
        <v/>
      </c>
    </row>
    <row r="8" ht="15" customHeight="1">
      <c r="A8" t="inlineStr">
        <is>
          <t>A 50161-2021</t>
        </is>
      </c>
      <c r="B8" s="1" t="n">
        <v>44456</v>
      </c>
      <c r="C8" s="1" t="n">
        <v>46198</v>
      </c>
      <c r="D8" t="inlineStr">
        <is>
          <t>JÖNKÖPINGS LÄN</t>
        </is>
      </c>
      <c r="E8" t="inlineStr">
        <is>
          <t>MULLSJÖ</t>
        </is>
      </c>
      <c r="F8" t="inlineStr">
        <is>
          <t>Kommuner</t>
        </is>
      </c>
      <c r="G8" t="n">
        <v>3.1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Slåtterfibbla</t>
        </is>
      </c>
      <c r="S8">
        <f>HYPERLINK("https://klasma.github.io/Logging_0642/artfynd/A 50161-2021 artfynd.xlsx", "A 50161-2021")</f>
        <v/>
      </c>
      <c r="T8">
        <f>HYPERLINK("https://klasma.github.io/Logging_0642/kartor/A 50161-2021 karta.png", "A 50161-2021")</f>
        <v/>
      </c>
      <c r="V8">
        <f>HYPERLINK("https://klasma.github.io/Logging_0642/klagomål/A 50161-2021 FSC-klagomål.docx", "A 50161-2021")</f>
        <v/>
      </c>
      <c r="W8">
        <f>HYPERLINK("https://klasma.github.io/Logging_0642/klagomålsmail/A 50161-2021 FSC-klagomål mail.docx", "A 50161-2021")</f>
        <v/>
      </c>
      <c r="X8">
        <f>HYPERLINK("https://klasma.github.io/Logging_0642/tillsyn/A 50161-2021 tillsynsbegäran.docx", "A 50161-2021")</f>
        <v/>
      </c>
      <c r="Y8">
        <f>HYPERLINK("https://klasma.github.io/Logging_0642/tillsynsmail/A 50161-2021 tillsynsbegäran mail.docx", "A 50161-2021")</f>
        <v/>
      </c>
    </row>
    <row r="9" ht="15" customHeight="1">
      <c r="A9" t="inlineStr">
        <is>
          <t>A 7817-2024</t>
        </is>
      </c>
      <c r="B9" s="1" t="n">
        <v>45349</v>
      </c>
      <c r="C9" s="1" t="n">
        <v>46198</v>
      </c>
      <c r="D9" t="inlineStr">
        <is>
          <t>JÖNKÖPINGS LÄN</t>
        </is>
      </c>
      <c r="E9" t="inlineStr">
        <is>
          <t>MULLSJÖ</t>
        </is>
      </c>
      <c r="G9" t="n">
        <v>8.9</v>
      </c>
      <c r="H9" t="n">
        <v>0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Ask
Huskvarnafibbla</t>
        </is>
      </c>
      <c r="S9">
        <f>HYPERLINK("https://klasma.github.io/Logging_0642/artfynd/A 7817-2024 artfynd.xlsx", "A 7817-2024")</f>
        <v/>
      </c>
      <c r="T9">
        <f>HYPERLINK("https://klasma.github.io/Logging_0642/kartor/A 7817-2024 karta.png", "A 7817-2024")</f>
        <v/>
      </c>
      <c r="V9">
        <f>HYPERLINK("https://klasma.github.io/Logging_0642/klagomål/A 7817-2024 FSC-klagomål.docx", "A 7817-2024")</f>
        <v/>
      </c>
      <c r="W9">
        <f>HYPERLINK("https://klasma.github.io/Logging_0642/klagomålsmail/A 7817-2024 FSC-klagomål mail.docx", "A 7817-2024")</f>
        <v/>
      </c>
      <c r="X9">
        <f>HYPERLINK("https://klasma.github.io/Logging_0642/tillsyn/A 7817-2024 tillsynsbegäran.docx", "A 7817-2024")</f>
        <v/>
      </c>
      <c r="Y9">
        <f>HYPERLINK("https://klasma.github.io/Logging_0642/tillsynsmail/A 7817-2024 tillsynsbegäran mail.docx", "A 7817-2024")</f>
        <v/>
      </c>
    </row>
    <row r="10" ht="15" customHeight="1">
      <c r="A10" t="inlineStr">
        <is>
          <t>A 7365-2023</t>
        </is>
      </c>
      <c r="B10" s="1" t="n">
        <v>44971</v>
      </c>
      <c r="C10" s="1" t="n">
        <v>46198</v>
      </c>
      <c r="D10" t="inlineStr">
        <is>
          <t>JÖNKÖPINGS LÄN</t>
        </is>
      </c>
      <c r="E10" t="inlineStr">
        <is>
          <t>MULLSJÖ</t>
        </is>
      </c>
      <c r="G10" t="n">
        <v>1.6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Grönvit nattviol</t>
        </is>
      </c>
      <c r="S10">
        <f>HYPERLINK("https://klasma.github.io/Logging_0642/artfynd/A 7365-2023 artfynd.xlsx", "A 7365-2023")</f>
        <v/>
      </c>
      <c r="T10">
        <f>HYPERLINK("https://klasma.github.io/Logging_0642/kartor/A 7365-2023 karta.png", "A 7365-2023")</f>
        <v/>
      </c>
      <c r="V10">
        <f>HYPERLINK("https://klasma.github.io/Logging_0642/klagomål/A 7365-2023 FSC-klagomål.docx", "A 7365-2023")</f>
        <v/>
      </c>
      <c r="W10">
        <f>HYPERLINK("https://klasma.github.io/Logging_0642/klagomålsmail/A 7365-2023 FSC-klagomål mail.docx", "A 7365-2023")</f>
        <v/>
      </c>
      <c r="X10">
        <f>HYPERLINK("https://klasma.github.io/Logging_0642/tillsyn/A 7365-2023 tillsynsbegäran.docx", "A 7365-2023")</f>
        <v/>
      </c>
      <c r="Y10">
        <f>HYPERLINK("https://klasma.github.io/Logging_0642/tillsynsmail/A 7365-2023 tillsynsbegäran mail.docx", "A 7365-2023")</f>
        <v/>
      </c>
    </row>
    <row r="11" ht="15" customHeight="1">
      <c r="A11" t="inlineStr">
        <is>
          <t>A 47692-2022</t>
        </is>
      </c>
      <c r="B11" s="1" t="n">
        <v>44854</v>
      </c>
      <c r="C11" s="1" t="n">
        <v>46198</v>
      </c>
      <c r="D11" t="inlineStr">
        <is>
          <t>JÖNKÖPINGS LÄN</t>
        </is>
      </c>
      <c r="E11" t="inlineStr">
        <is>
          <t>MULLSJÖ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Orre</t>
        </is>
      </c>
      <c r="S11">
        <f>HYPERLINK("https://klasma.github.io/Logging_0642/artfynd/A 47692-2022 artfynd.xlsx", "A 47692-2022")</f>
        <v/>
      </c>
      <c r="T11">
        <f>HYPERLINK("https://klasma.github.io/Logging_0642/kartor/A 47692-2022 karta.png", "A 47692-2022")</f>
        <v/>
      </c>
      <c r="V11">
        <f>HYPERLINK("https://klasma.github.io/Logging_0642/klagomål/A 47692-2022 FSC-klagomål.docx", "A 47692-2022")</f>
        <v/>
      </c>
      <c r="W11">
        <f>HYPERLINK("https://klasma.github.io/Logging_0642/klagomålsmail/A 47692-2022 FSC-klagomål mail.docx", "A 47692-2022")</f>
        <v/>
      </c>
      <c r="X11">
        <f>HYPERLINK("https://klasma.github.io/Logging_0642/tillsyn/A 47692-2022 tillsynsbegäran.docx", "A 47692-2022")</f>
        <v/>
      </c>
      <c r="Y11">
        <f>HYPERLINK("https://klasma.github.io/Logging_0642/tillsynsmail/A 47692-2022 tillsynsbegäran mail.docx", "A 47692-2022")</f>
        <v/>
      </c>
      <c r="Z11">
        <f>HYPERLINK("https://klasma.github.io/Logging_0642/fåglar/A 47692-2022 prioriterade fågelarter.docx", "A 47692-2022")</f>
        <v/>
      </c>
    </row>
    <row r="12" ht="15" customHeight="1">
      <c r="A12" t="inlineStr">
        <is>
          <t>A 14230-2024</t>
        </is>
      </c>
      <c r="B12" s="1" t="n">
        <v>45393</v>
      </c>
      <c r="C12" s="1" t="n">
        <v>46198</v>
      </c>
      <c r="D12" t="inlineStr">
        <is>
          <t>JÖNKÖPINGS LÄN</t>
        </is>
      </c>
      <c r="E12" t="inlineStr">
        <is>
          <t>MULLSJÖ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HYPERLINK("https://klasma.github.io/Logging_0642/artfynd/A 14230-2024 artfynd.xlsx", "A 14230-2024")</f>
        <v/>
      </c>
      <c r="T12">
        <f>HYPERLINK("https://klasma.github.io/Logging_0642/kartor/A 14230-2024 karta.png", "A 14230-2024")</f>
        <v/>
      </c>
      <c r="V12">
        <f>HYPERLINK("https://klasma.github.io/Logging_0642/klagomål/A 14230-2024 FSC-klagomål.docx", "A 14230-2024")</f>
        <v/>
      </c>
      <c r="W12">
        <f>HYPERLINK("https://klasma.github.io/Logging_0642/klagomålsmail/A 14230-2024 FSC-klagomål mail.docx", "A 14230-2024")</f>
        <v/>
      </c>
      <c r="X12">
        <f>HYPERLINK("https://klasma.github.io/Logging_0642/tillsyn/A 14230-2024 tillsynsbegäran.docx", "A 14230-2024")</f>
        <v/>
      </c>
      <c r="Y12">
        <f>HYPERLINK("https://klasma.github.io/Logging_0642/tillsynsmail/A 14230-2024 tillsynsbegäran mail.docx", "A 14230-2024")</f>
        <v/>
      </c>
    </row>
    <row r="13" ht="15" customHeight="1">
      <c r="A13" t="inlineStr">
        <is>
          <t>A 56310-2025</t>
        </is>
      </c>
      <c r="B13" s="1" t="n">
        <v>45974</v>
      </c>
      <c r="C13" s="1" t="n">
        <v>46198</v>
      </c>
      <c r="D13" t="inlineStr">
        <is>
          <t>JÖNKÖPINGS LÄN</t>
        </is>
      </c>
      <c r="E13" t="inlineStr">
        <is>
          <t>MULLSJÖ</t>
        </is>
      </c>
      <c r="G13" t="n">
        <v>3.5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HYPERLINK("https://klasma.github.io/Logging_0642/artfynd/A 56310-2025 artfynd.xlsx", "A 56310-2025")</f>
        <v/>
      </c>
      <c r="T13">
        <f>HYPERLINK("https://klasma.github.io/Logging_0642/kartor/A 56310-2025 karta.png", "A 56310-2025")</f>
        <v/>
      </c>
      <c r="V13">
        <f>HYPERLINK("https://klasma.github.io/Logging_0642/klagomål/A 56310-2025 FSC-klagomål.docx", "A 56310-2025")</f>
        <v/>
      </c>
      <c r="W13">
        <f>HYPERLINK("https://klasma.github.io/Logging_0642/klagomålsmail/A 56310-2025 FSC-klagomål mail.docx", "A 56310-2025")</f>
        <v/>
      </c>
      <c r="X13">
        <f>HYPERLINK("https://klasma.github.io/Logging_0642/tillsyn/A 56310-2025 tillsynsbegäran.docx", "A 56310-2025")</f>
        <v/>
      </c>
      <c r="Y13">
        <f>HYPERLINK("https://klasma.github.io/Logging_0642/tillsynsmail/A 56310-2025 tillsynsbegäran mail.docx", "A 56310-2025")</f>
        <v/>
      </c>
    </row>
    <row r="14" ht="15" customHeight="1">
      <c r="A14" t="inlineStr">
        <is>
          <t>A 7823-2024</t>
        </is>
      </c>
      <c r="B14" s="1" t="n">
        <v>45349</v>
      </c>
      <c r="C14" s="1" t="n">
        <v>46198</v>
      </c>
      <c r="D14" t="inlineStr">
        <is>
          <t>JÖNKÖPINGS LÄN</t>
        </is>
      </c>
      <c r="E14" t="inlineStr">
        <is>
          <t>MULLSJÖ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HYPERLINK("https://klasma.github.io/Logging_0642/artfynd/A 7823-2024 artfynd.xlsx", "A 7823-2024")</f>
        <v/>
      </c>
      <c r="T14">
        <f>HYPERLINK("https://klasma.github.io/Logging_0642/kartor/A 7823-2024 karta.png", "A 7823-2024")</f>
        <v/>
      </c>
      <c r="V14">
        <f>HYPERLINK("https://klasma.github.io/Logging_0642/klagomål/A 7823-2024 FSC-klagomål.docx", "A 7823-2024")</f>
        <v/>
      </c>
      <c r="W14">
        <f>HYPERLINK("https://klasma.github.io/Logging_0642/klagomålsmail/A 7823-2024 FSC-klagomål mail.docx", "A 7823-2024")</f>
        <v/>
      </c>
      <c r="X14">
        <f>HYPERLINK("https://klasma.github.io/Logging_0642/tillsyn/A 7823-2024 tillsynsbegäran.docx", "A 7823-2024")</f>
        <v/>
      </c>
      <c r="Y14">
        <f>HYPERLINK("https://klasma.github.io/Logging_0642/tillsynsmail/A 7823-2024 tillsynsbegäran mail.docx", "A 7823-2024")</f>
        <v/>
      </c>
    </row>
    <row r="15" ht="15" customHeight="1">
      <c r="A15" t="inlineStr">
        <is>
          <t>A 7821-2024</t>
        </is>
      </c>
      <c r="B15" s="1" t="n">
        <v>45349</v>
      </c>
      <c r="C15" s="1" t="n">
        <v>46198</v>
      </c>
      <c r="D15" t="inlineStr">
        <is>
          <t>JÖNKÖPINGS LÄN</t>
        </is>
      </c>
      <c r="E15" t="inlineStr">
        <is>
          <t>MULLSJÖ</t>
        </is>
      </c>
      <c r="G15" t="n">
        <v>8.199999999999999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HYPERLINK("https://klasma.github.io/Logging_0642/artfynd/A 7821-2024 artfynd.xlsx", "A 7821-2024")</f>
        <v/>
      </c>
      <c r="T15">
        <f>HYPERLINK("https://klasma.github.io/Logging_0642/kartor/A 7821-2024 karta.png", "A 7821-2024")</f>
        <v/>
      </c>
      <c r="V15">
        <f>HYPERLINK("https://klasma.github.io/Logging_0642/klagomål/A 7821-2024 FSC-klagomål.docx", "A 7821-2024")</f>
        <v/>
      </c>
      <c r="W15">
        <f>HYPERLINK("https://klasma.github.io/Logging_0642/klagomålsmail/A 7821-2024 FSC-klagomål mail.docx", "A 7821-2024")</f>
        <v/>
      </c>
      <c r="X15">
        <f>HYPERLINK("https://klasma.github.io/Logging_0642/tillsyn/A 7821-2024 tillsynsbegäran.docx", "A 7821-2024")</f>
        <v/>
      </c>
      <c r="Y15">
        <f>HYPERLINK("https://klasma.github.io/Logging_0642/tillsynsmail/A 7821-2024 tillsynsbegäran mail.docx", "A 7821-2024")</f>
        <v/>
      </c>
    </row>
    <row r="16" ht="15" customHeight="1">
      <c r="A16" t="inlineStr">
        <is>
          <t>A 55693-2025</t>
        </is>
      </c>
      <c r="B16" s="1" t="n">
        <v>45972</v>
      </c>
      <c r="C16" s="1" t="n">
        <v>46198</v>
      </c>
      <c r="D16" t="inlineStr">
        <is>
          <t>JÖNKÖPINGS LÄN</t>
        </is>
      </c>
      <c r="E16" t="inlineStr">
        <is>
          <t>MULLSJÖ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HYPERLINK("https://klasma.github.io/Logging_0642/artfynd/A 55693-2025 artfynd.xlsx", "A 55693-2025")</f>
        <v/>
      </c>
      <c r="T16">
        <f>HYPERLINK("https://klasma.github.io/Logging_0642/kartor/A 55693-2025 karta.png", "A 55693-2025")</f>
        <v/>
      </c>
      <c r="V16">
        <f>HYPERLINK("https://klasma.github.io/Logging_0642/klagomål/A 55693-2025 FSC-klagomål.docx", "A 55693-2025")</f>
        <v/>
      </c>
      <c r="W16">
        <f>HYPERLINK("https://klasma.github.io/Logging_0642/klagomålsmail/A 55693-2025 FSC-klagomål mail.docx", "A 55693-2025")</f>
        <v/>
      </c>
      <c r="X16">
        <f>HYPERLINK("https://klasma.github.io/Logging_0642/tillsyn/A 55693-2025 tillsynsbegäran.docx", "A 55693-2025")</f>
        <v/>
      </c>
      <c r="Y16">
        <f>HYPERLINK("https://klasma.github.io/Logging_0642/tillsynsmail/A 55693-2025 tillsynsbegäran mail.docx", "A 55693-2025")</f>
        <v/>
      </c>
    </row>
    <row r="17" ht="15" customHeight="1">
      <c r="A17" t="inlineStr">
        <is>
          <t>A 46006-2022</t>
        </is>
      </c>
      <c r="B17" s="1" t="n">
        <v>44846</v>
      </c>
      <c r="C17" s="1" t="n">
        <v>46198</v>
      </c>
      <c r="D17" t="inlineStr">
        <is>
          <t>JÖNKÖPINGS LÄN</t>
        </is>
      </c>
      <c r="E17" t="inlineStr">
        <is>
          <t>MULLSJÖ</t>
        </is>
      </c>
      <c r="G17" t="n">
        <v>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HYPERLINK("https://klasma.github.io/Logging_0642/artfynd/A 46006-2022 artfynd.xlsx", "A 46006-2022")</f>
        <v/>
      </c>
      <c r="T17">
        <f>HYPERLINK("https://klasma.github.io/Logging_0642/kartor/A 46006-2022 karta.png", "A 46006-2022")</f>
        <v/>
      </c>
      <c r="V17">
        <f>HYPERLINK("https://klasma.github.io/Logging_0642/klagomål/A 46006-2022 FSC-klagomål.docx", "A 46006-2022")</f>
        <v/>
      </c>
      <c r="W17">
        <f>HYPERLINK("https://klasma.github.io/Logging_0642/klagomålsmail/A 46006-2022 FSC-klagomål mail.docx", "A 46006-2022")</f>
        <v/>
      </c>
      <c r="X17">
        <f>HYPERLINK("https://klasma.github.io/Logging_0642/tillsyn/A 46006-2022 tillsynsbegäran.docx", "A 46006-2022")</f>
        <v/>
      </c>
      <c r="Y17">
        <f>HYPERLINK("https://klasma.github.io/Logging_0642/tillsynsmail/A 46006-2022 tillsynsbegäran mail.docx", "A 46006-2022")</f>
        <v/>
      </c>
    </row>
    <row r="18" ht="15" customHeight="1">
      <c r="A18" t="inlineStr">
        <is>
          <t>A 1221-2026</t>
        </is>
      </c>
      <c r="B18" s="1" t="n">
        <v>46031</v>
      </c>
      <c r="C18" s="1" t="n">
        <v>46198</v>
      </c>
      <c r="D18" t="inlineStr">
        <is>
          <t>JÖNKÖPINGS LÄN</t>
        </is>
      </c>
      <c r="E18" t="inlineStr">
        <is>
          <t>MULLSJÖ</t>
        </is>
      </c>
      <c r="F18" t="inlineStr">
        <is>
          <t>Kommuner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HYPERLINK("https://klasma.github.io/Logging_0642/artfynd/A 1221-2026 artfynd.xlsx", "A 1221-2026")</f>
        <v/>
      </c>
      <c r="T18">
        <f>HYPERLINK("https://klasma.github.io/Logging_0642/kartor/A 1221-2026 karta.png", "A 1221-2026")</f>
        <v/>
      </c>
      <c r="V18">
        <f>HYPERLINK("https://klasma.github.io/Logging_0642/klagomål/A 1221-2026 FSC-klagomål.docx", "A 1221-2026")</f>
        <v/>
      </c>
      <c r="W18">
        <f>HYPERLINK("https://klasma.github.io/Logging_0642/klagomålsmail/A 1221-2026 FSC-klagomål mail.docx", "A 1221-2026")</f>
        <v/>
      </c>
      <c r="X18">
        <f>HYPERLINK("https://klasma.github.io/Logging_0642/tillsyn/A 1221-2026 tillsynsbegäran.docx", "A 1221-2026")</f>
        <v/>
      </c>
      <c r="Y18">
        <f>HYPERLINK("https://klasma.github.io/Logging_0642/tillsynsmail/A 1221-2026 tillsynsbegäran mail.docx", "A 1221-2026")</f>
        <v/>
      </c>
    </row>
    <row r="19" ht="15" customHeight="1">
      <c r="A19" t="inlineStr">
        <is>
          <t>A 56244-2022</t>
        </is>
      </c>
      <c r="B19" s="1" t="n">
        <v>44890</v>
      </c>
      <c r="C19" s="1" t="n">
        <v>46198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HYPERLINK("https://klasma.github.io/Logging_0642/artfynd/A 56244-2022 artfynd.xlsx", "A 56244-2022")</f>
        <v/>
      </c>
      <c r="T19">
        <f>HYPERLINK("https://klasma.github.io/Logging_0642/kartor/A 56244-2022 karta.png", "A 56244-2022")</f>
        <v/>
      </c>
      <c r="V19">
        <f>HYPERLINK("https://klasma.github.io/Logging_0642/klagomål/A 56244-2022 FSC-klagomål.docx", "A 56244-2022")</f>
        <v/>
      </c>
      <c r="W19">
        <f>HYPERLINK("https://klasma.github.io/Logging_0642/klagomålsmail/A 56244-2022 FSC-klagomål mail.docx", "A 56244-2022")</f>
        <v/>
      </c>
      <c r="X19">
        <f>HYPERLINK("https://klasma.github.io/Logging_0642/tillsyn/A 56244-2022 tillsynsbegäran.docx", "A 56244-2022")</f>
        <v/>
      </c>
      <c r="Y19">
        <f>HYPERLINK("https://klasma.github.io/Logging_0642/tillsynsmail/A 56244-2022 tillsynsbegäran mail.docx", "A 56244-2022")</f>
        <v/>
      </c>
    </row>
    <row r="20" ht="15" customHeight="1">
      <c r="A20" t="inlineStr">
        <is>
          <t>A 62232-2022</t>
        </is>
      </c>
      <c r="B20" s="1" t="n">
        <v>44922</v>
      </c>
      <c r="C20" s="1" t="n">
        <v>46198</v>
      </c>
      <c r="D20" t="inlineStr">
        <is>
          <t>JÖNKÖPINGS LÄN</t>
        </is>
      </c>
      <c r="E20" t="inlineStr">
        <is>
          <t>MULLSJÖ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HYPERLINK("https://klasma.github.io/Logging_0642/artfynd/A 62232-2022 artfynd.xlsx", "A 62232-2022")</f>
        <v/>
      </c>
      <c r="T20">
        <f>HYPERLINK("https://klasma.github.io/Logging_0642/kartor/A 62232-2022 karta.png", "A 62232-2022")</f>
        <v/>
      </c>
      <c r="V20">
        <f>HYPERLINK("https://klasma.github.io/Logging_0642/klagomål/A 62232-2022 FSC-klagomål.docx", "A 62232-2022")</f>
        <v/>
      </c>
      <c r="W20">
        <f>HYPERLINK("https://klasma.github.io/Logging_0642/klagomålsmail/A 62232-2022 FSC-klagomål mail.docx", "A 62232-2022")</f>
        <v/>
      </c>
      <c r="X20">
        <f>HYPERLINK("https://klasma.github.io/Logging_0642/tillsyn/A 62232-2022 tillsynsbegäran.docx", "A 62232-2022")</f>
        <v/>
      </c>
      <c r="Y20">
        <f>HYPERLINK("https://klasma.github.io/Logging_0642/tillsynsmail/A 62232-2022 tillsynsbegäran mail.docx", "A 62232-2022")</f>
        <v/>
      </c>
    </row>
    <row r="21" ht="15" customHeight="1">
      <c r="A21" t="inlineStr">
        <is>
          <t>A 17410-2024</t>
        </is>
      </c>
      <c r="B21" s="1" t="n">
        <v>45414</v>
      </c>
      <c r="C21" s="1" t="n">
        <v>46198</v>
      </c>
      <c r="D21" t="inlineStr">
        <is>
          <t>JÖNKÖPINGS LÄN</t>
        </is>
      </c>
      <c r="E21" t="inlineStr">
        <is>
          <t>MULLSJÖ</t>
        </is>
      </c>
      <c r="G21" t="n">
        <v>7.3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Mörk husmossa</t>
        </is>
      </c>
      <c r="S21">
        <f>HYPERLINK("https://klasma.github.io/Logging_0642/artfynd/A 17410-2024 artfynd.xlsx", "A 17410-2024")</f>
        <v/>
      </c>
      <c r="T21">
        <f>HYPERLINK("https://klasma.github.io/Logging_0642/kartor/A 17410-2024 karta.png", "A 17410-2024")</f>
        <v/>
      </c>
      <c r="V21">
        <f>HYPERLINK("https://klasma.github.io/Logging_0642/klagomål/A 17410-2024 FSC-klagomål.docx", "A 17410-2024")</f>
        <v/>
      </c>
      <c r="W21">
        <f>HYPERLINK("https://klasma.github.io/Logging_0642/klagomålsmail/A 17410-2024 FSC-klagomål mail.docx", "A 17410-2024")</f>
        <v/>
      </c>
      <c r="X21">
        <f>HYPERLINK("https://klasma.github.io/Logging_0642/tillsyn/A 17410-2024 tillsynsbegäran.docx", "A 17410-2024")</f>
        <v/>
      </c>
      <c r="Y21">
        <f>HYPERLINK("https://klasma.github.io/Logging_0642/tillsynsmail/A 17410-2024 tillsynsbegäran mail.docx", "A 17410-2024")</f>
        <v/>
      </c>
    </row>
    <row r="22" ht="15" customHeight="1">
      <c r="A22" t="inlineStr">
        <is>
          <t>A 57195-2024</t>
        </is>
      </c>
      <c r="B22" s="1" t="n">
        <v>45629</v>
      </c>
      <c r="C22" s="1" t="n">
        <v>46198</v>
      </c>
      <c r="D22" t="inlineStr">
        <is>
          <t>JÖNKÖPINGS LÄN</t>
        </is>
      </c>
      <c r="E22" t="inlineStr">
        <is>
          <t>MULLSJÖ</t>
        </is>
      </c>
      <c r="F22" t="inlineStr">
        <is>
          <t>Kommuner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Älg</t>
        </is>
      </c>
      <c r="S22">
        <f>HYPERLINK("https://klasma.github.io/Logging_0642/artfynd/A 57195-2024 artfynd.xlsx", "A 57195-2024")</f>
        <v/>
      </c>
      <c r="T22">
        <f>HYPERLINK("https://klasma.github.io/Logging_0642/kartor/A 57195-2024 karta.png", "A 57195-2024")</f>
        <v/>
      </c>
      <c r="V22">
        <f>HYPERLINK("https://klasma.github.io/Logging_0642/klagomål/A 57195-2024 FSC-klagomål.docx", "A 57195-2024")</f>
        <v/>
      </c>
      <c r="W22">
        <f>HYPERLINK("https://klasma.github.io/Logging_0642/klagomålsmail/A 57195-2024 FSC-klagomål mail.docx", "A 57195-2024")</f>
        <v/>
      </c>
      <c r="X22">
        <f>HYPERLINK("https://klasma.github.io/Logging_0642/tillsyn/A 57195-2024 tillsynsbegäran.docx", "A 57195-2024")</f>
        <v/>
      </c>
      <c r="Y22">
        <f>HYPERLINK("https://klasma.github.io/Logging_0642/tillsynsmail/A 57195-2024 tillsynsbegäran mail.docx", "A 57195-2024")</f>
        <v/>
      </c>
    </row>
    <row r="23" ht="15" customHeight="1">
      <c r="A23" t="inlineStr">
        <is>
          <t>A 17825-2026</t>
        </is>
      </c>
      <c r="B23" s="1" t="n">
        <v>46122</v>
      </c>
      <c r="C23" s="1" t="n">
        <v>46198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HYPERLINK("https://klasma.github.io/Logging_0642/artfynd/A 17825-2026 artfynd.xlsx", "A 17825-2026")</f>
        <v/>
      </c>
      <c r="T23">
        <f>HYPERLINK("https://klasma.github.io/Logging_0642/kartor/A 17825-2026 karta.png", "A 17825-2026")</f>
        <v/>
      </c>
      <c r="V23">
        <f>HYPERLINK("https://klasma.github.io/Logging_0642/klagomål/A 17825-2026 FSC-klagomål.docx", "A 17825-2026")</f>
        <v/>
      </c>
      <c r="W23">
        <f>HYPERLINK("https://klasma.github.io/Logging_0642/klagomålsmail/A 17825-2026 FSC-klagomål mail.docx", "A 17825-2026")</f>
        <v/>
      </c>
      <c r="X23">
        <f>HYPERLINK("https://klasma.github.io/Logging_0642/tillsyn/A 17825-2026 tillsynsbegäran.docx", "A 17825-2026")</f>
        <v/>
      </c>
      <c r="Y23">
        <f>HYPERLINK("https://klasma.github.io/Logging_0642/tillsynsmail/A 17825-2026 tillsynsbegäran mail.docx", "A 17825-2026")</f>
        <v/>
      </c>
    </row>
    <row r="24" ht="15" customHeight="1">
      <c r="A24" t="inlineStr">
        <is>
          <t>A 13882-2023</t>
        </is>
      </c>
      <c r="B24" s="1" t="n">
        <v>45007</v>
      </c>
      <c r="C24" s="1" t="n">
        <v>46198</v>
      </c>
      <c r="D24" t="inlineStr">
        <is>
          <t>JÖNKÖPINGS LÄN</t>
        </is>
      </c>
      <c r="E24" t="inlineStr">
        <is>
          <t>MULLSJÖ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HYPERLINK("https://klasma.github.io/Logging_0642/artfynd/A 13882-2023 artfynd.xlsx", "A 13882-2023")</f>
        <v/>
      </c>
      <c r="T24">
        <f>HYPERLINK("https://klasma.github.io/Logging_0642/kartor/A 13882-2023 karta.png", "A 13882-2023")</f>
        <v/>
      </c>
      <c r="V24">
        <f>HYPERLINK("https://klasma.github.io/Logging_0642/klagomål/A 13882-2023 FSC-klagomål.docx", "A 13882-2023")</f>
        <v/>
      </c>
      <c r="W24">
        <f>HYPERLINK("https://klasma.github.io/Logging_0642/klagomålsmail/A 13882-2023 FSC-klagomål mail.docx", "A 13882-2023")</f>
        <v/>
      </c>
      <c r="X24">
        <f>HYPERLINK("https://klasma.github.io/Logging_0642/tillsyn/A 13882-2023 tillsynsbegäran.docx", "A 13882-2023")</f>
        <v/>
      </c>
      <c r="Y24">
        <f>HYPERLINK("https://klasma.github.io/Logging_0642/tillsynsmail/A 13882-2023 tillsynsbegäran mail.docx", "A 13882-2023")</f>
        <v/>
      </c>
    </row>
    <row r="25" ht="15" customHeight="1">
      <c r="A25" t="inlineStr">
        <is>
          <t>A 44654-2023</t>
        </is>
      </c>
      <c r="B25" s="1" t="n">
        <v>45189</v>
      </c>
      <c r="C25" s="1" t="n">
        <v>46198</v>
      </c>
      <c r="D25" t="inlineStr">
        <is>
          <t>JÖNKÖPINGS LÄN</t>
        </is>
      </c>
      <c r="E25" t="inlineStr">
        <is>
          <t>MULLSJÖ</t>
        </is>
      </c>
      <c r="F25" t="inlineStr">
        <is>
          <t>Kommuner</t>
        </is>
      </c>
      <c r="G25" t="n">
        <v>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Igelkott</t>
        </is>
      </c>
      <c r="S25">
        <f>HYPERLINK("https://klasma.github.io/Logging_0642/artfynd/A 44654-2023 artfynd.xlsx", "A 44654-2023")</f>
        <v/>
      </c>
      <c r="T25">
        <f>HYPERLINK("https://klasma.github.io/Logging_0642/kartor/A 44654-2023 karta.png", "A 44654-2023")</f>
        <v/>
      </c>
      <c r="V25">
        <f>HYPERLINK("https://klasma.github.io/Logging_0642/klagomål/A 44654-2023 FSC-klagomål.docx", "A 44654-2023")</f>
        <v/>
      </c>
      <c r="W25">
        <f>HYPERLINK("https://klasma.github.io/Logging_0642/klagomålsmail/A 44654-2023 FSC-klagomål mail.docx", "A 44654-2023")</f>
        <v/>
      </c>
      <c r="X25">
        <f>HYPERLINK("https://klasma.github.io/Logging_0642/tillsyn/A 44654-2023 tillsynsbegäran.docx", "A 44654-2023")</f>
        <v/>
      </c>
      <c r="Y25">
        <f>HYPERLINK("https://klasma.github.io/Logging_0642/tillsynsmail/A 44654-2023 tillsynsbegäran mail.docx", "A 44654-2023")</f>
        <v/>
      </c>
    </row>
    <row r="26" ht="15" customHeight="1">
      <c r="A26" t="inlineStr">
        <is>
          <t>A 15498-2024</t>
        </is>
      </c>
      <c r="B26" s="1" t="n">
        <v>45401</v>
      </c>
      <c r="C26" s="1" t="n">
        <v>46198</v>
      </c>
      <c r="D26" t="inlineStr">
        <is>
          <t>JÖNKÖPINGS LÄN</t>
        </is>
      </c>
      <c r="E26" t="inlineStr">
        <is>
          <t>MULLSJÖ</t>
        </is>
      </c>
      <c r="F26" t="inlineStr">
        <is>
          <t>Kyrkan</t>
        </is>
      </c>
      <c r="G26" t="n">
        <v>4.8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HYPERLINK("https://klasma.github.io/Logging_0642/artfynd/A 15498-2024 artfynd.xlsx", "A 15498-2024")</f>
        <v/>
      </c>
      <c r="T26">
        <f>HYPERLINK("https://klasma.github.io/Logging_0642/kartor/A 15498-2024 karta.png", "A 15498-2024")</f>
        <v/>
      </c>
      <c r="U26">
        <f>HYPERLINK("https://klasma.github.io/Logging_0642/knärot/A 15498-2024 karta knärot.png", "A 15498-2024")</f>
        <v/>
      </c>
      <c r="V26">
        <f>HYPERLINK("https://klasma.github.io/Logging_0642/klagomål/A 15498-2024 FSC-klagomål.docx", "A 15498-2024")</f>
        <v/>
      </c>
      <c r="W26">
        <f>HYPERLINK("https://klasma.github.io/Logging_0642/klagomålsmail/A 15498-2024 FSC-klagomål mail.docx", "A 15498-2024")</f>
        <v/>
      </c>
      <c r="X26">
        <f>HYPERLINK("https://klasma.github.io/Logging_0642/tillsyn/A 15498-2024 tillsynsbegäran.docx", "A 15498-2024")</f>
        <v/>
      </c>
      <c r="Y26">
        <f>HYPERLINK("https://klasma.github.io/Logging_0642/tillsynsmail/A 15498-2024 tillsynsbegäran mail.docx", "A 15498-2024")</f>
        <v/>
      </c>
    </row>
    <row r="27" ht="15" customHeight="1">
      <c r="A27" t="inlineStr">
        <is>
          <t>A 55888-2021</t>
        </is>
      </c>
      <c r="B27" s="1" t="n">
        <v>44476</v>
      </c>
      <c r="C27" s="1" t="n">
        <v>46198</v>
      </c>
      <c r="D27" t="inlineStr">
        <is>
          <t>JÖNKÖPINGS LÄN</t>
        </is>
      </c>
      <c r="E27" t="inlineStr">
        <is>
          <t>MULLSJÖ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65493-2021</t>
        </is>
      </c>
      <c r="B28" s="1" t="n">
        <v>44516</v>
      </c>
      <c r="C28" s="1" t="n">
        <v>46198</v>
      </c>
      <c r="D28" t="inlineStr">
        <is>
          <t>JÖNKÖPINGS LÄN</t>
        </is>
      </c>
      <c r="E28" t="inlineStr">
        <is>
          <t>MULLSJÖ</t>
        </is>
      </c>
      <c r="F28" t="inlineStr">
        <is>
          <t>Kyrkan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39354-2022</t>
        </is>
      </c>
      <c r="B29" s="1" t="n">
        <v>44817</v>
      </c>
      <c r="C29" s="1" t="n">
        <v>46198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52062-2022</t>
        </is>
      </c>
      <c r="B30" s="1" t="n">
        <v>44873</v>
      </c>
      <c r="C30" s="1" t="n">
        <v>46198</v>
      </c>
      <c r="D30" t="inlineStr">
        <is>
          <t>JÖNKÖPINGS LÄN</t>
        </is>
      </c>
      <c r="E30" t="inlineStr">
        <is>
          <t>MULLSJÖ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52058-2022</t>
        </is>
      </c>
      <c r="B31" s="1" t="n">
        <v>44873</v>
      </c>
      <c r="C31" s="1" t="n">
        <v>46198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55896-2021</t>
        </is>
      </c>
      <c r="B32" s="1" t="n">
        <v>44476</v>
      </c>
      <c r="C32" s="1" t="n">
        <v>46198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43594-2021</t>
        </is>
      </c>
      <c r="B33" s="1" t="n">
        <v>44433</v>
      </c>
      <c r="C33" s="1" t="n">
        <v>46198</v>
      </c>
      <c r="D33" t="inlineStr">
        <is>
          <t>JÖNKÖPINGS LÄN</t>
        </is>
      </c>
      <c r="E33" t="inlineStr">
        <is>
          <t>MULLSJÖ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38996-2021</t>
        </is>
      </c>
      <c r="B34" s="1" t="n">
        <v>44412</v>
      </c>
      <c r="C34" s="1" t="n">
        <v>46198</v>
      </c>
      <c r="D34" t="inlineStr">
        <is>
          <t>JÖNKÖPINGS LÄN</t>
        </is>
      </c>
      <c r="E34" t="inlineStr">
        <is>
          <t>MULLSJÖ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57229-2021</t>
        </is>
      </c>
      <c r="B35" s="1" t="n">
        <v>44483</v>
      </c>
      <c r="C35" s="1" t="n">
        <v>46198</v>
      </c>
      <c r="D35" t="inlineStr">
        <is>
          <t>JÖNKÖPINGS LÄN</t>
        </is>
      </c>
      <c r="E35" t="inlineStr">
        <is>
          <t>MULLSJÖ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46198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46198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</v>
      </c>
      <c r="C38" s="1" t="n">
        <v>46198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46198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27760-2022</t>
        </is>
      </c>
      <c r="B40" s="1" t="n">
        <v>44743</v>
      </c>
      <c r="C40" s="1" t="n">
        <v>46198</v>
      </c>
      <c r="D40" t="inlineStr">
        <is>
          <t>JÖNKÖPINGS LÄN</t>
        </is>
      </c>
      <c r="E40" t="inlineStr">
        <is>
          <t>MULLSJÖ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21691-2022</t>
        </is>
      </c>
      <c r="B41" s="1" t="n">
        <v>44707</v>
      </c>
      <c r="C41" s="1" t="n">
        <v>46198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16133-2022</t>
        </is>
      </c>
      <c r="B42" s="1" t="n">
        <v>44665</v>
      </c>
      <c r="C42" s="1" t="n">
        <v>46198</v>
      </c>
      <c r="D42" t="inlineStr">
        <is>
          <t>JÖNKÖPINGS LÄN</t>
        </is>
      </c>
      <c r="E42" t="inlineStr">
        <is>
          <t>MULLSJÖ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21693-2022</t>
        </is>
      </c>
      <c r="B43" s="1" t="n">
        <v>44707</v>
      </c>
      <c r="C43" s="1" t="n">
        <v>46198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35245-2023</t>
        </is>
      </c>
      <c r="B44" s="1" t="n">
        <v>45145</v>
      </c>
      <c r="C44" s="1" t="n">
        <v>46198</v>
      </c>
      <c r="D44" t="inlineStr">
        <is>
          <t>JÖNKÖPINGS LÄN</t>
        </is>
      </c>
      <c r="E44" t="inlineStr">
        <is>
          <t>MULLSJÖ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3837-2025</t>
        </is>
      </c>
      <c r="B45" s="1" t="n">
        <v>45682</v>
      </c>
      <c r="C45" s="1" t="n">
        <v>46198</v>
      </c>
      <c r="D45" t="inlineStr">
        <is>
          <t>JÖNKÖPINGS LÄN</t>
        </is>
      </c>
      <c r="E45" t="inlineStr">
        <is>
          <t>MULLSJÖ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37797-2024</t>
        </is>
      </c>
      <c r="B46" s="1" t="n">
        <v>45543</v>
      </c>
      <c r="C46" s="1" t="n">
        <v>46198</v>
      </c>
      <c r="D46" t="inlineStr">
        <is>
          <t>JÖNKÖPINGS LÄN</t>
        </is>
      </c>
      <c r="E46" t="inlineStr">
        <is>
          <t>MULLSJÖ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37798-2024</t>
        </is>
      </c>
      <c r="B47" s="1" t="n">
        <v>45543</v>
      </c>
      <c r="C47" s="1" t="n">
        <v>46198</v>
      </c>
      <c r="D47" t="inlineStr">
        <is>
          <t>JÖNKÖPINGS LÄN</t>
        </is>
      </c>
      <c r="E47" t="inlineStr">
        <is>
          <t>MULLSJÖ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28791-2024</t>
        </is>
      </c>
      <c r="B48" s="1" t="n">
        <v>45478</v>
      </c>
      <c r="C48" s="1" t="n">
        <v>46198</v>
      </c>
      <c r="D48" t="inlineStr">
        <is>
          <t>JÖNKÖPINGS LÄN</t>
        </is>
      </c>
      <c r="E48" t="inlineStr">
        <is>
          <t>MULLSJÖ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6210-2023</t>
        </is>
      </c>
      <c r="B49" s="1" t="n">
        <v>44964</v>
      </c>
      <c r="C49" s="1" t="n">
        <v>46198</v>
      </c>
      <c r="D49" t="inlineStr">
        <is>
          <t>JÖNKÖPINGS LÄN</t>
        </is>
      </c>
      <c r="E49" t="inlineStr">
        <is>
          <t>MULLSJÖ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6212-2023</t>
        </is>
      </c>
      <c r="B50" s="1" t="n">
        <v>44964</v>
      </c>
      <c r="C50" s="1" t="n">
        <v>46198</v>
      </c>
      <c r="D50" t="inlineStr">
        <is>
          <t>JÖNKÖPINGS LÄN</t>
        </is>
      </c>
      <c r="E50" t="inlineStr">
        <is>
          <t>MULLSJÖ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21687-2022</t>
        </is>
      </c>
      <c r="B51" s="1" t="n">
        <v>44707</v>
      </c>
      <c r="C51" s="1" t="n">
        <v>46198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49734-2024</t>
        </is>
      </c>
      <c r="B52" s="1" t="n">
        <v>45596</v>
      </c>
      <c r="C52" s="1" t="n">
        <v>46198</v>
      </c>
      <c r="D52" t="inlineStr">
        <is>
          <t>JÖNKÖPINGS LÄN</t>
        </is>
      </c>
      <c r="E52" t="inlineStr">
        <is>
          <t>MULLSJÖ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33875-2024</t>
        </is>
      </c>
      <c r="B53" s="1" t="n">
        <v>45521</v>
      </c>
      <c r="C53" s="1" t="n">
        <v>46198</v>
      </c>
      <c r="D53" t="inlineStr">
        <is>
          <t>JÖNKÖPINGS LÄN</t>
        </is>
      </c>
      <c r="E53" t="inlineStr">
        <is>
          <t>MULLSJÖ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71048-2021</t>
        </is>
      </c>
      <c r="B54" s="1" t="n">
        <v>44538</v>
      </c>
      <c r="C54" s="1" t="n">
        <v>46198</v>
      </c>
      <c r="D54" t="inlineStr">
        <is>
          <t>JÖNKÖPINGS LÄN</t>
        </is>
      </c>
      <c r="E54" t="inlineStr">
        <is>
          <t>MULLSJÖ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39988-2024</t>
        </is>
      </c>
      <c r="B55" s="1" t="n">
        <v>45553</v>
      </c>
      <c r="C55" s="1" t="n">
        <v>46198</v>
      </c>
      <c r="D55" t="inlineStr">
        <is>
          <t>JÖNKÖPINGS LÄN</t>
        </is>
      </c>
      <c r="E55" t="inlineStr">
        <is>
          <t>MULLSJÖ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59503-2024</t>
        </is>
      </c>
      <c r="B56" s="1" t="n">
        <v>45638</v>
      </c>
      <c r="C56" s="1" t="n">
        <v>46198</v>
      </c>
      <c r="D56" t="inlineStr">
        <is>
          <t>JÖNKÖPINGS LÄN</t>
        </is>
      </c>
      <c r="E56" t="inlineStr">
        <is>
          <t>MULLSJÖ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40157-2023</t>
        </is>
      </c>
      <c r="B57" s="1" t="n">
        <v>45169</v>
      </c>
      <c r="C57" s="1" t="n">
        <v>46198</v>
      </c>
      <c r="D57" t="inlineStr">
        <is>
          <t>JÖNKÖPINGS LÄN</t>
        </is>
      </c>
      <c r="E57" t="inlineStr">
        <is>
          <t>MULLSJÖ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35113-2024</t>
        </is>
      </c>
      <c r="B58" s="1" t="n">
        <v>45529</v>
      </c>
      <c r="C58" s="1" t="n">
        <v>46198</v>
      </c>
      <c r="D58" t="inlineStr">
        <is>
          <t>JÖNKÖPINGS LÄN</t>
        </is>
      </c>
      <c r="E58" t="inlineStr">
        <is>
          <t>MULLSJÖ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6690-2023</t>
        </is>
      </c>
      <c r="B59" s="1" t="n">
        <v>44966</v>
      </c>
      <c r="C59" s="1" t="n">
        <v>46198</v>
      </c>
      <c r="D59" t="inlineStr">
        <is>
          <t>JÖNKÖPINGS LÄN</t>
        </is>
      </c>
      <c r="E59" t="inlineStr">
        <is>
          <t>MULLSJÖ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4438-2025</t>
        </is>
      </c>
      <c r="B60" s="1" t="n">
        <v>45686</v>
      </c>
      <c r="C60" s="1" t="n">
        <v>46198</v>
      </c>
      <c r="D60" t="inlineStr">
        <is>
          <t>JÖNKÖPINGS LÄN</t>
        </is>
      </c>
      <c r="E60" t="inlineStr">
        <is>
          <t>MULLSJÖ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30641-2024</t>
        </is>
      </c>
      <c r="B61" s="1" t="n">
        <v>45495</v>
      </c>
      <c r="C61" s="1" t="n">
        <v>46198</v>
      </c>
      <c r="D61" t="inlineStr">
        <is>
          <t>JÖNKÖPINGS LÄN</t>
        </is>
      </c>
      <c r="E61" t="inlineStr">
        <is>
          <t>MULLSJÖ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27549-2022</t>
        </is>
      </c>
      <c r="B62" s="1" t="n">
        <v>44742</v>
      </c>
      <c r="C62" s="1" t="n">
        <v>46198</v>
      </c>
      <c r="D62" t="inlineStr">
        <is>
          <t>JÖNKÖPINGS LÄN</t>
        </is>
      </c>
      <c r="E62" t="inlineStr">
        <is>
          <t>MULLSJÖ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7278-2025</t>
        </is>
      </c>
      <c r="B63" s="1" t="n">
        <v>45702</v>
      </c>
      <c r="C63" s="1" t="n">
        <v>46198</v>
      </c>
      <c r="D63" t="inlineStr">
        <is>
          <t>JÖNKÖPINGS LÄN</t>
        </is>
      </c>
      <c r="E63" t="inlineStr">
        <is>
          <t>MULLSJÖ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19107-2023</t>
        </is>
      </c>
      <c r="B64" s="1" t="n">
        <v>45048</v>
      </c>
      <c r="C64" s="1" t="n">
        <v>46198</v>
      </c>
      <c r="D64" t="inlineStr">
        <is>
          <t>JÖNKÖPINGS LÄN</t>
        </is>
      </c>
      <c r="E64" t="inlineStr">
        <is>
          <t>MULLSJÖ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6208-2023</t>
        </is>
      </c>
      <c r="B65" s="1" t="n">
        <v>44964</v>
      </c>
      <c r="C65" s="1" t="n">
        <v>46198</v>
      </c>
      <c r="D65" t="inlineStr">
        <is>
          <t>JÖNKÖPINGS LÄN</t>
        </is>
      </c>
      <c r="E65" t="inlineStr">
        <is>
          <t>MULLSJÖ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6196-2023</t>
        </is>
      </c>
      <c r="B66" s="1" t="n">
        <v>44964</v>
      </c>
      <c r="C66" s="1" t="n">
        <v>46198</v>
      </c>
      <c r="D66" t="inlineStr">
        <is>
          <t>JÖNKÖPINGS LÄN</t>
        </is>
      </c>
      <c r="E66" t="inlineStr">
        <is>
          <t>MULLSJÖ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37131-2025</t>
        </is>
      </c>
      <c r="B67" s="1" t="n">
        <v>45875</v>
      </c>
      <c r="C67" s="1" t="n">
        <v>46198</v>
      </c>
      <c r="D67" t="inlineStr">
        <is>
          <t>JÖNKÖPINGS LÄN</t>
        </is>
      </c>
      <c r="E67" t="inlineStr">
        <is>
          <t>MULLSJÖ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37133-2025</t>
        </is>
      </c>
      <c r="B68" s="1" t="n">
        <v>45875</v>
      </c>
      <c r="C68" s="1" t="n">
        <v>46198</v>
      </c>
      <c r="D68" t="inlineStr">
        <is>
          <t>JÖNKÖPINGS LÄN</t>
        </is>
      </c>
      <c r="E68" t="inlineStr">
        <is>
          <t>MULLSJÖ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37427-2025</t>
        </is>
      </c>
      <c r="B69" s="1" t="n">
        <v>45877</v>
      </c>
      <c r="C69" s="1" t="n">
        <v>46198</v>
      </c>
      <c r="D69" t="inlineStr">
        <is>
          <t>JÖNKÖPINGS LÄN</t>
        </is>
      </c>
      <c r="E69" t="inlineStr">
        <is>
          <t>MULLSJÖ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37424-2025</t>
        </is>
      </c>
      <c r="B70" s="1" t="n">
        <v>45877</v>
      </c>
      <c r="C70" s="1" t="n">
        <v>46198</v>
      </c>
      <c r="D70" t="inlineStr">
        <is>
          <t>JÖNKÖPINGS LÄN</t>
        </is>
      </c>
      <c r="E70" t="inlineStr">
        <is>
          <t>MULLSJÖ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49733-2024</t>
        </is>
      </c>
      <c r="B71" s="1" t="n">
        <v>45596</v>
      </c>
      <c r="C71" s="1" t="n">
        <v>46198</v>
      </c>
      <c r="D71" t="inlineStr">
        <is>
          <t>JÖNKÖPINGS LÄN</t>
        </is>
      </c>
      <c r="E71" t="inlineStr">
        <is>
          <t>MULLSJÖ</t>
        </is>
      </c>
      <c r="G71" t="n">
        <v>15.1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39990-2024</t>
        </is>
      </c>
      <c r="B72" s="1" t="n">
        <v>45553</v>
      </c>
      <c r="C72" s="1" t="n">
        <v>46198</v>
      </c>
      <c r="D72" t="inlineStr">
        <is>
          <t>JÖNKÖPINGS LÄN</t>
        </is>
      </c>
      <c r="E72" t="inlineStr">
        <is>
          <t>MULLSJÖ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39590-2025</t>
        </is>
      </c>
      <c r="B73" s="1" t="n">
        <v>45890</v>
      </c>
      <c r="C73" s="1" t="n">
        <v>46198</v>
      </c>
      <c r="D73" t="inlineStr">
        <is>
          <t>JÖNKÖPINGS LÄN</t>
        </is>
      </c>
      <c r="E73" t="inlineStr">
        <is>
          <t>MULLSJÖ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14226-2024</t>
        </is>
      </c>
      <c r="B74" s="1" t="n">
        <v>45393</v>
      </c>
      <c r="C74" s="1" t="n">
        <v>46198</v>
      </c>
      <c r="D74" t="inlineStr">
        <is>
          <t>JÖNKÖPINGS LÄN</t>
        </is>
      </c>
      <c r="E74" t="inlineStr">
        <is>
          <t>MULLSJÖ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7654-2022</t>
        </is>
      </c>
      <c r="B75" s="1" t="n">
        <v>44607</v>
      </c>
      <c r="C75" s="1" t="n">
        <v>46198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57500-2022</t>
        </is>
      </c>
      <c r="B76" s="1" t="n">
        <v>44896</v>
      </c>
      <c r="C76" s="1" t="n">
        <v>46198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2642-2025</t>
        </is>
      </c>
      <c r="B77" s="1" t="n">
        <v>45676</v>
      </c>
      <c r="C77" s="1" t="n">
        <v>46198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42155-2025</t>
        </is>
      </c>
      <c r="B78" s="1" t="n">
        <v>45904</v>
      </c>
      <c r="C78" s="1" t="n">
        <v>46198</v>
      </c>
      <c r="D78" t="inlineStr">
        <is>
          <t>JÖNKÖPINGS LÄN</t>
        </is>
      </c>
      <c r="E78" t="inlineStr">
        <is>
          <t>MULLSJÖ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20671-2022</t>
        </is>
      </c>
      <c r="B79" s="1" t="n">
        <v>44700</v>
      </c>
      <c r="C79" s="1" t="n">
        <v>46198</v>
      </c>
      <c r="D79" t="inlineStr">
        <is>
          <t>JÖNKÖPINGS LÄN</t>
        </is>
      </c>
      <c r="E79" t="inlineStr">
        <is>
          <t>MULLSJÖ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43134-2025</t>
        </is>
      </c>
      <c r="B80" s="1" t="n">
        <v>45909</v>
      </c>
      <c r="C80" s="1" t="n">
        <v>46198</v>
      </c>
      <c r="D80" t="inlineStr">
        <is>
          <t>JÖNKÖPINGS LÄN</t>
        </is>
      </c>
      <c r="E80" t="inlineStr">
        <is>
          <t>MULLSJÖ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6222-2024</t>
        </is>
      </c>
      <c r="B81" s="1" t="n">
        <v>45337</v>
      </c>
      <c r="C81" s="1" t="n">
        <v>46198</v>
      </c>
      <c r="D81" t="inlineStr">
        <is>
          <t>JÖNKÖPINGS LÄN</t>
        </is>
      </c>
      <c r="E81" t="inlineStr">
        <is>
          <t>MULLSJÖ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22270-2024</t>
        </is>
      </c>
      <c r="B82" s="1" t="n">
        <v>45446</v>
      </c>
      <c r="C82" s="1" t="n">
        <v>46198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46536-2025</t>
        </is>
      </c>
      <c r="B83" s="1" t="n">
        <v>45926</v>
      </c>
      <c r="C83" s="1" t="n">
        <v>46198</v>
      </c>
      <c r="D83" t="inlineStr">
        <is>
          <t>JÖNKÖPINGS LÄN</t>
        </is>
      </c>
      <c r="E83" t="inlineStr">
        <is>
          <t>MULLSJÖ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46539-2025</t>
        </is>
      </c>
      <c r="B84" s="1" t="n">
        <v>45926</v>
      </c>
      <c r="C84" s="1" t="n">
        <v>46198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46533-2025</t>
        </is>
      </c>
      <c r="B85" s="1" t="n">
        <v>45926</v>
      </c>
      <c r="C85" s="1" t="n">
        <v>46198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46848-2025</t>
        </is>
      </c>
      <c r="B86" s="1" t="n">
        <v>45928</v>
      </c>
      <c r="C86" s="1" t="n">
        <v>46198</v>
      </c>
      <c r="D86" t="inlineStr">
        <is>
          <t>JÖNKÖPINGS LÄN</t>
        </is>
      </c>
      <c r="E86" t="inlineStr">
        <is>
          <t>MULLSJÖ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6194-2023</t>
        </is>
      </c>
      <c r="B87" s="1" t="n">
        <v>44964</v>
      </c>
      <c r="C87" s="1" t="n">
        <v>46198</v>
      </c>
      <c r="D87" t="inlineStr">
        <is>
          <t>JÖNKÖPINGS LÄN</t>
        </is>
      </c>
      <c r="E87" t="inlineStr">
        <is>
          <t>MULLSJÖ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6214-2023</t>
        </is>
      </c>
      <c r="B88" s="1" t="n">
        <v>44964</v>
      </c>
      <c r="C88" s="1" t="n">
        <v>46198</v>
      </c>
      <c r="D88" t="inlineStr">
        <is>
          <t>JÖNKÖPINGS LÄN</t>
        </is>
      </c>
      <c r="E88" t="inlineStr">
        <is>
          <t>MULLSJÖ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49925-2023</t>
        </is>
      </c>
      <c r="B89" s="1" t="n">
        <v>45214</v>
      </c>
      <c r="C89" s="1" t="n">
        <v>46198</v>
      </c>
      <c r="D89" t="inlineStr">
        <is>
          <t>JÖNKÖPINGS LÄN</t>
        </is>
      </c>
      <c r="E89" t="inlineStr">
        <is>
          <t>MULLSJÖ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48096-2025</t>
        </is>
      </c>
      <c r="B90" s="1" t="n">
        <v>45933</v>
      </c>
      <c r="C90" s="1" t="n">
        <v>46198</v>
      </c>
      <c r="D90" t="inlineStr">
        <is>
          <t>JÖNKÖPINGS LÄN</t>
        </is>
      </c>
      <c r="E90" t="inlineStr">
        <is>
          <t>MULLSJÖ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28940-2025</t>
        </is>
      </c>
      <c r="B91" s="1" t="n">
        <v>45820</v>
      </c>
      <c r="C91" s="1" t="n">
        <v>46198</v>
      </c>
      <c r="D91" t="inlineStr">
        <is>
          <t>JÖNKÖPINGS LÄN</t>
        </is>
      </c>
      <c r="E91" t="inlineStr">
        <is>
          <t>MULLSJÖ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12423-2025</t>
        </is>
      </c>
      <c r="B92" s="1" t="n">
        <v>45730</v>
      </c>
      <c r="C92" s="1" t="n">
        <v>46198</v>
      </c>
      <c r="D92" t="inlineStr">
        <is>
          <t>JÖNKÖPINGS LÄN</t>
        </is>
      </c>
      <c r="E92" t="inlineStr">
        <is>
          <t>MULLSJÖ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49024-2025</t>
        </is>
      </c>
      <c r="B93" s="1" t="n">
        <v>45937</v>
      </c>
      <c r="C93" s="1" t="n">
        <v>46198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28605-2023</t>
        </is>
      </c>
      <c r="B94" s="1" t="n">
        <v>45103</v>
      </c>
      <c r="C94" s="1" t="n">
        <v>46198</v>
      </c>
      <c r="D94" t="inlineStr">
        <is>
          <t>JÖNKÖPINGS LÄN</t>
        </is>
      </c>
      <c r="E94" t="inlineStr">
        <is>
          <t>MULLSJÖ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49779-2025</t>
        </is>
      </c>
      <c r="B95" s="1" t="n">
        <v>45940</v>
      </c>
      <c r="C95" s="1" t="n">
        <v>46198</v>
      </c>
      <c r="D95" t="inlineStr">
        <is>
          <t>JÖNKÖPINGS LÄN</t>
        </is>
      </c>
      <c r="E95" t="inlineStr">
        <is>
          <t>MULLSJÖ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35244-2023</t>
        </is>
      </c>
      <c r="B96" s="1" t="n">
        <v>45145</v>
      </c>
      <c r="C96" s="1" t="n">
        <v>46198</v>
      </c>
      <c r="D96" t="inlineStr">
        <is>
          <t>JÖNKÖPINGS LÄN</t>
        </is>
      </c>
      <c r="E96" t="inlineStr">
        <is>
          <t>MULLSJÖ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17007-2025</t>
        </is>
      </c>
      <c r="B97" s="1" t="n">
        <v>45755</v>
      </c>
      <c r="C97" s="1" t="n">
        <v>46198</v>
      </c>
      <c r="D97" t="inlineStr">
        <is>
          <t>JÖNKÖPINGS LÄN</t>
        </is>
      </c>
      <c r="E97" t="inlineStr">
        <is>
          <t>MULLSJÖ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17011-2025</t>
        </is>
      </c>
      <c r="B98" s="1" t="n">
        <v>45755</v>
      </c>
      <c r="C98" s="1" t="n">
        <v>46198</v>
      </c>
      <c r="D98" t="inlineStr">
        <is>
          <t>JÖNKÖPINGS LÄN</t>
        </is>
      </c>
      <c r="E98" t="inlineStr">
        <is>
          <t>MULLSJÖ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16567-2025</t>
        </is>
      </c>
      <c r="B99" s="1" t="n">
        <v>45752</v>
      </c>
      <c r="C99" s="1" t="n">
        <v>46198</v>
      </c>
      <c r="D99" t="inlineStr">
        <is>
          <t>JÖNKÖPINGS LÄN</t>
        </is>
      </c>
      <c r="E99" t="inlineStr">
        <is>
          <t>MULLSJÖ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16568-2025</t>
        </is>
      </c>
      <c r="B100" s="1" t="n">
        <v>45752</v>
      </c>
      <c r="C100" s="1" t="n">
        <v>46198</v>
      </c>
      <c r="D100" t="inlineStr">
        <is>
          <t>JÖNKÖPINGS LÄN</t>
        </is>
      </c>
      <c r="E100" t="inlineStr">
        <is>
          <t>MULLSJÖ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16570-2025</t>
        </is>
      </c>
      <c r="B101" s="1" t="n">
        <v>45752</v>
      </c>
      <c r="C101" s="1" t="n">
        <v>46198</v>
      </c>
      <c r="D101" t="inlineStr">
        <is>
          <t>JÖNKÖPINGS LÄN</t>
        </is>
      </c>
      <c r="E101" t="inlineStr">
        <is>
          <t>MULLSJÖ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52321-2025</t>
        </is>
      </c>
      <c r="B102" s="1" t="n">
        <v>45953</v>
      </c>
      <c r="C102" s="1" t="n">
        <v>46198</v>
      </c>
      <c r="D102" t="inlineStr">
        <is>
          <t>JÖNKÖPINGS LÄN</t>
        </is>
      </c>
      <c r="E102" t="inlineStr">
        <is>
          <t>MULLSJÖ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24566-2023</t>
        </is>
      </c>
      <c r="B103" s="1" t="n">
        <v>45083</v>
      </c>
      <c r="C103" s="1" t="n">
        <v>46198</v>
      </c>
      <c r="D103" t="inlineStr">
        <is>
          <t>JÖNKÖPINGS LÄN</t>
        </is>
      </c>
      <c r="E103" t="inlineStr">
        <is>
          <t>MULLSJÖ</t>
        </is>
      </c>
      <c r="G103" t="n">
        <v>13.1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46901-2023</t>
        </is>
      </c>
      <c r="B104" s="1" t="n">
        <v>45201</v>
      </c>
      <c r="C104" s="1" t="n">
        <v>46198</v>
      </c>
      <c r="D104" t="inlineStr">
        <is>
          <t>JÖNKÖPINGS LÄN</t>
        </is>
      </c>
      <c r="E104" t="inlineStr">
        <is>
          <t>MULLSJÖ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40960-2023</t>
        </is>
      </c>
      <c r="B105" s="1" t="n">
        <v>45169</v>
      </c>
      <c r="C105" s="1" t="n">
        <v>46198</v>
      </c>
      <c r="D105" t="inlineStr">
        <is>
          <t>JÖNKÖPINGS LÄN</t>
        </is>
      </c>
      <c r="E105" t="inlineStr">
        <is>
          <t>MULLSJÖ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59349-2024</t>
        </is>
      </c>
      <c r="B106" s="1" t="n">
        <v>45638</v>
      </c>
      <c r="C106" s="1" t="n">
        <v>46198</v>
      </c>
      <c r="D106" t="inlineStr">
        <is>
          <t>JÖNKÖPINGS LÄN</t>
        </is>
      </c>
      <c r="E106" t="inlineStr">
        <is>
          <t>MULLSJÖ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8371-2023</t>
        </is>
      </c>
      <c r="B107" s="1" t="n">
        <v>44977</v>
      </c>
      <c r="C107" s="1" t="n">
        <v>46198</v>
      </c>
      <c r="D107" t="inlineStr">
        <is>
          <t>JÖNKÖPINGS LÄN</t>
        </is>
      </c>
      <c r="E107" t="inlineStr">
        <is>
          <t>MULLSJÖ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16573-2025</t>
        </is>
      </c>
      <c r="B108" s="1" t="n">
        <v>45752</v>
      </c>
      <c r="C108" s="1" t="n">
        <v>46198</v>
      </c>
      <c r="D108" t="inlineStr">
        <is>
          <t>JÖNKÖPINGS LÄN</t>
        </is>
      </c>
      <c r="E108" t="inlineStr">
        <is>
          <t>MULLSJÖ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16350-2022</t>
        </is>
      </c>
      <c r="B109" s="1" t="n">
        <v>44670</v>
      </c>
      <c r="C109" s="1" t="n">
        <v>46198</v>
      </c>
      <c r="D109" t="inlineStr">
        <is>
          <t>JÖNKÖPINGS LÄN</t>
        </is>
      </c>
      <c r="E109" t="inlineStr">
        <is>
          <t>MULLSJÖ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58356-2025</t>
        </is>
      </c>
      <c r="B110" s="1" t="n">
        <v>45985</v>
      </c>
      <c r="C110" s="1" t="n">
        <v>46198</v>
      </c>
      <c r="D110" t="inlineStr">
        <is>
          <t>JÖNKÖPINGS LÄN</t>
        </is>
      </c>
      <c r="E110" t="inlineStr">
        <is>
          <t>MULLSJÖ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2495-2024</t>
        </is>
      </c>
      <c r="B111" s="1" t="n">
        <v>45313</v>
      </c>
      <c r="C111" s="1" t="n">
        <v>46198</v>
      </c>
      <c r="D111" t="inlineStr">
        <is>
          <t>JÖNKÖPINGS LÄN</t>
        </is>
      </c>
      <c r="E111" t="inlineStr">
        <is>
          <t>MULLSJÖ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59332-2024</t>
        </is>
      </c>
      <c r="B112" s="1" t="n">
        <v>45637</v>
      </c>
      <c r="C112" s="1" t="n">
        <v>46198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23787-2024</t>
        </is>
      </c>
      <c r="B113" s="1" t="n">
        <v>45455</v>
      </c>
      <c r="C113" s="1" t="n">
        <v>46198</v>
      </c>
      <c r="D113" t="inlineStr">
        <is>
          <t>JÖNKÖPINGS LÄN</t>
        </is>
      </c>
      <c r="E113" t="inlineStr">
        <is>
          <t>MULLSJÖ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62586-2025</t>
        </is>
      </c>
      <c r="B114" s="1" t="n">
        <v>46007</v>
      </c>
      <c r="C114" s="1" t="n">
        <v>46198</v>
      </c>
      <c r="D114" t="inlineStr">
        <is>
          <t>JÖNKÖPINGS LÄN</t>
        </is>
      </c>
      <c r="E114" t="inlineStr">
        <is>
          <t>MULLSJÖ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62956-2025</t>
        </is>
      </c>
      <c r="B115" s="1" t="n">
        <v>46009</v>
      </c>
      <c r="C115" s="1" t="n">
        <v>46198</v>
      </c>
      <c r="D115" t="inlineStr">
        <is>
          <t>JÖNKÖPINGS LÄN</t>
        </is>
      </c>
      <c r="E115" t="inlineStr">
        <is>
          <t>MULLSJÖ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28508-2026</t>
        </is>
      </c>
      <c r="B116" s="1" t="n">
        <v>46197</v>
      </c>
      <c r="C116" s="1" t="n">
        <v>46198</v>
      </c>
      <c r="D116" t="inlineStr">
        <is>
          <t>JÖNKÖPINGS LÄN</t>
        </is>
      </c>
      <c r="E116" t="inlineStr">
        <is>
          <t>MULLSJÖ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11515-2024</t>
        </is>
      </c>
      <c r="B117" s="1" t="n">
        <v>45372</v>
      </c>
      <c r="C117" s="1" t="n">
        <v>46198</v>
      </c>
      <c r="D117" t="inlineStr">
        <is>
          <t>JÖNKÖPINGS LÄN</t>
        </is>
      </c>
      <c r="E117" t="inlineStr">
        <is>
          <t>MULLSJÖ</t>
        </is>
      </c>
      <c r="F117" t="inlineStr">
        <is>
          <t>Kyrkan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15707-2025</t>
        </is>
      </c>
      <c r="B118" s="1" t="n">
        <v>45748</v>
      </c>
      <c r="C118" s="1" t="n">
        <v>46198</v>
      </c>
      <c r="D118" t="inlineStr">
        <is>
          <t>JÖNKÖPINGS LÄN</t>
        </is>
      </c>
      <c r="E118" t="inlineStr">
        <is>
          <t>MULLSJÖ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28517-2026</t>
        </is>
      </c>
      <c r="B119" s="1" t="n">
        <v>46197</v>
      </c>
      <c r="C119" s="1" t="n">
        <v>46198</v>
      </c>
      <c r="D119" t="inlineStr">
        <is>
          <t>JÖNKÖPINGS LÄN</t>
        </is>
      </c>
      <c r="E119" t="inlineStr">
        <is>
          <t>MULLSJÖ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1347-2026</t>
        </is>
      </c>
      <c r="B120" s="1" t="n">
        <v>46031</v>
      </c>
      <c r="C120" s="1" t="n">
        <v>46198</v>
      </c>
      <c r="D120" t="inlineStr">
        <is>
          <t>JÖNKÖPINGS LÄN</t>
        </is>
      </c>
      <c r="E120" t="inlineStr">
        <is>
          <t>MULLSJÖ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14064-2025</t>
        </is>
      </c>
      <c r="B121" s="1" t="n">
        <v>45740</v>
      </c>
      <c r="C121" s="1" t="n">
        <v>46198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7181-2023</t>
        </is>
      </c>
      <c r="B122" s="1" t="n">
        <v>44970</v>
      </c>
      <c r="C122" s="1" t="n">
        <v>46198</v>
      </c>
      <c r="D122" t="inlineStr">
        <is>
          <t>JÖNKÖPINGS LÄN</t>
        </is>
      </c>
      <c r="E122" t="inlineStr">
        <is>
          <t>MULLSJÖ</t>
        </is>
      </c>
      <c r="F122" t="inlineStr">
        <is>
          <t>Kommuner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HYPERLINK("https://klasma.github.io/Logging_0642/knärot/A 7181-2023 karta knärot.png", "A 7181-2023")</f>
        <v/>
      </c>
      <c r="V122">
        <f>HYPERLINK("https://klasma.github.io/Logging_0642/klagomål/A 7181-2023 FSC-klagomål.docx", "A 7181-2023")</f>
        <v/>
      </c>
      <c r="W122">
        <f>HYPERLINK("https://klasma.github.io/Logging_0642/klagomålsmail/A 7181-2023 FSC-klagomål mail.docx", "A 7181-2023")</f>
        <v/>
      </c>
      <c r="X122">
        <f>HYPERLINK("https://klasma.github.io/Logging_0642/tillsyn/A 7181-2023 tillsynsbegäran.docx", "A 7181-2023")</f>
        <v/>
      </c>
      <c r="Y122">
        <f>HYPERLINK("https://klasma.github.io/Logging_0642/tillsynsmail/A 7181-2023 tillsynsbegäran mail.docx", "A 7181-2023")</f>
        <v/>
      </c>
    </row>
    <row r="123" ht="15" customHeight="1">
      <c r="A123" t="inlineStr">
        <is>
          <t>A 4355-2023</t>
        </is>
      </c>
      <c r="B123" s="1" t="n">
        <v>44954</v>
      </c>
      <c r="C123" s="1" t="n">
        <v>46198</v>
      </c>
      <c r="D123" t="inlineStr">
        <is>
          <t>JÖNKÖPINGS LÄN</t>
        </is>
      </c>
      <c r="E123" t="inlineStr">
        <is>
          <t>MULLSJÖ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2497-2024</t>
        </is>
      </c>
      <c r="B124" s="1" t="n">
        <v>45313</v>
      </c>
      <c r="C124" s="1" t="n">
        <v>46198</v>
      </c>
      <c r="D124" t="inlineStr">
        <is>
          <t>JÖNKÖPINGS LÄN</t>
        </is>
      </c>
      <c r="E124" t="inlineStr">
        <is>
          <t>MULLSJÖ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14748-2022</t>
        </is>
      </c>
      <c r="B125" s="1" t="n">
        <v>44656</v>
      </c>
      <c r="C125" s="1" t="n">
        <v>46198</v>
      </c>
      <c r="D125" t="inlineStr">
        <is>
          <t>JÖNKÖPINGS LÄN</t>
        </is>
      </c>
      <c r="E125" t="inlineStr">
        <is>
          <t>MULLSJÖ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39353-2022</t>
        </is>
      </c>
      <c r="B126" s="1" t="n">
        <v>44817</v>
      </c>
      <c r="C126" s="1" t="n">
        <v>46198</v>
      </c>
      <c r="D126" t="inlineStr">
        <is>
          <t>JÖNKÖPINGS LÄN</t>
        </is>
      </c>
      <c r="E126" t="inlineStr">
        <is>
          <t>MULLSJÖ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57025-2022</t>
        </is>
      </c>
      <c r="B127" s="1" t="n">
        <v>44895</v>
      </c>
      <c r="C127" s="1" t="n">
        <v>46198</v>
      </c>
      <c r="D127" t="inlineStr">
        <is>
          <t>JÖNKÖPINGS LÄN</t>
        </is>
      </c>
      <c r="E127" t="inlineStr">
        <is>
          <t>MULLSJÖ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23789-2024</t>
        </is>
      </c>
      <c r="B128" s="1" t="n">
        <v>45455</v>
      </c>
      <c r="C128" s="1" t="n">
        <v>46198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1489-2024</t>
        </is>
      </c>
      <c r="B129" s="1" t="n">
        <v>45305</v>
      </c>
      <c r="C129" s="1" t="n">
        <v>46198</v>
      </c>
      <c r="D129" t="inlineStr">
        <is>
          <t>JÖNKÖPINGS LÄN</t>
        </is>
      </c>
      <c r="E129" t="inlineStr">
        <is>
          <t>MULLSJÖ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52385-2022</t>
        </is>
      </c>
      <c r="B130" s="1" t="n">
        <v>44869</v>
      </c>
      <c r="C130" s="1" t="n">
        <v>46198</v>
      </c>
      <c r="D130" t="inlineStr">
        <is>
          <t>JÖNKÖPINGS LÄN</t>
        </is>
      </c>
      <c r="E130" t="inlineStr">
        <is>
          <t>MULLSJÖ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56145-2022</t>
        </is>
      </c>
      <c r="B131" s="1" t="n">
        <v>44889</v>
      </c>
      <c r="C131" s="1" t="n">
        <v>46198</v>
      </c>
      <c r="D131" t="inlineStr">
        <is>
          <t>JÖNKÖPINGS LÄN</t>
        </is>
      </c>
      <c r="E131" t="inlineStr">
        <is>
          <t>MULLSJÖ</t>
        </is>
      </c>
      <c r="G131" t="n">
        <v>14.1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11220-2026</t>
        </is>
      </c>
      <c r="B132" s="1" t="n">
        <v>46080</v>
      </c>
      <c r="C132" s="1" t="n">
        <v>46198</v>
      </c>
      <c r="D132" t="inlineStr">
        <is>
          <t>JÖNKÖPINGS LÄN</t>
        </is>
      </c>
      <c r="E132" t="inlineStr">
        <is>
          <t>MULLSJÖ</t>
        </is>
      </c>
      <c r="F132" t="inlineStr">
        <is>
          <t>Kyrkan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12351-2026</t>
        </is>
      </c>
      <c r="B133" s="1" t="n">
        <v>46088</v>
      </c>
      <c r="C133" s="1" t="n">
        <v>46198</v>
      </c>
      <c r="D133" t="inlineStr">
        <is>
          <t>JÖNKÖPINGS LÄN</t>
        </is>
      </c>
      <c r="E133" t="inlineStr">
        <is>
          <t>MULLSJÖ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4356-2023</t>
        </is>
      </c>
      <c r="B134" s="1" t="n">
        <v>44954</v>
      </c>
      <c r="C134" s="1" t="n">
        <v>46198</v>
      </c>
      <c r="D134" t="inlineStr">
        <is>
          <t>JÖNKÖPINGS LÄN</t>
        </is>
      </c>
      <c r="E134" t="inlineStr">
        <is>
          <t>MULLSJÖ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4359-2023</t>
        </is>
      </c>
      <c r="B135" s="1" t="n">
        <v>44954</v>
      </c>
      <c r="C135" s="1" t="n">
        <v>46198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46198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50297-2022</t>
        </is>
      </c>
      <c r="B137" s="1" t="n">
        <v>44865</v>
      </c>
      <c r="C137" s="1" t="n">
        <v>46198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11457-2023</t>
        </is>
      </c>
      <c r="B138" s="1" t="n">
        <v>44993</v>
      </c>
      <c r="C138" s="1" t="n">
        <v>46198</v>
      </c>
      <c r="D138" t="inlineStr">
        <is>
          <t>JÖNKÖPINGS LÄN</t>
        </is>
      </c>
      <c r="E138" t="inlineStr">
        <is>
          <t>MULLSJÖ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56876-2023</t>
        </is>
      </c>
      <c r="B139" s="1" t="n">
        <v>45244</v>
      </c>
      <c r="C139" s="1" t="n">
        <v>46198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7268-2025</t>
        </is>
      </c>
      <c r="B140" s="1" t="n">
        <v>45702</v>
      </c>
      <c r="C140" s="1" t="n">
        <v>46198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15629-2026</t>
        </is>
      </c>
      <c r="B141" s="1" t="n">
        <v>46106</v>
      </c>
      <c r="C141" s="1" t="n">
        <v>46198</v>
      </c>
      <c r="D141" t="inlineStr">
        <is>
          <t>JÖNKÖPINGS LÄN</t>
        </is>
      </c>
      <c r="E141" t="inlineStr">
        <is>
          <t>MULLSJÖ</t>
        </is>
      </c>
      <c r="F141" t="inlineStr">
        <is>
          <t>Kyrkan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1794-2023</t>
        </is>
      </c>
      <c r="B142" s="1" t="n">
        <v>44938</v>
      </c>
      <c r="C142" s="1" t="n">
        <v>46198</v>
      </c>
      <c r="D142" t="inlineStr">
        <is>
          <t>JÖNKÖPINGS LÄN</t>
        </is>
      </c>
      <c r="E142" t="inlineStr">
        <is>
          <t>MULLSJÖ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34914-2022</t>
        </is>
      </c>
      <c r="B143" s="1" t="n">
        <v>44796</v>
      </c>
      <c r="C143" s="1" t="n">
        <v>46198</v>
      </c>
      <c r="D143" t="inlineStr">
        <is>
          <t>JÖNKÖPINGS LÄN</t>
        </is>
      </c>
      <c r="E143" t="inlineStr">
        <is>
          <t>MULLSJÖ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14742-2022</t>
        </is>
      </c>
      <c r="B144" s="1" t="n">
        <v>44656</v>
      </c>
      <c r="C144" s="1" t="n">
        <v>46198</v>
      </c>
      <c r="D144" t="inlineStr">
        <is>
          <t>JÖNKÖPINGS LÄN</t>
        </is>
      </c>
      <c r="E144" t="inlineStr">
        <is>
          <t>MULLSJÖ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14745-2022</t>
        </is>
      </c>
      <c r="B145" s="1" t="n">
        <v>44656</v>
      </c>
      <c r="C145" s="1" t="n">
        <v>46198</v>
      </c>
      <c r="D145" t="inlineStr">
        <is>
          <t>JÖNKÖPINGS LÄN</t>
        </is>
      </c>
      <c r="E145" t="inlineStr">
        <is>
          <t>MULLSJÖ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17821-2026</t>
        </is>
      </c>
      <c r="B146" s="1" t="n">
        <v>46122</v>
      </c>
      <c r="C146" s="1" t="n">
        <v>46198</v>
      </c>
      <c r="D146" t="inlineStr">
        <is>
          <t>JÖNKÖPINGS LÄN</t>
        </is>
      </c>
      <c r="E146" t="inlineStr">
        <is>
          <t>MULLSJÖ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26757-2024</t>
        </is>
      </c>
      <c r="B147" s="1" t="n">
        <v>45469</v>
      </c>
      <c r="C147" s="1" t="n">
        <v>46198</v>
      </c>
      <c r="D147" t="inlineStr">
        <is>
          <t>JÖNKÖPINGS LÄN</t>
        </is>
      </c>
      <c r="E147" t="inlineStr">
        <is>
          <t>MULLSJÖ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18421-2026</t>
        </is>
      </c>
      <c r="B148" s="1" t="n">
        <v>46126</v>
      </c>
      <c r="C148" s="1" t="n">
        <v>46198</v>
      </c>
      <c r="D148" t="inlineStr">
        <is>
          <t>JÖNKÖPINGS LÄN</t>
        </is>
      </c>
      <c r="E148" t="inlineStr">
        <is>
          <t>MULLSJÖ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42872-2022</t>
        </is>
      </c>
      <c r="B149" s="1" t="n">
        <v>44832</v>
      </c>
      <c r="C149" s="1" t="n">
        <v>46198</v>
      </c>
      <c r="D149" t="inlineStr">
        <is>
          <t>JÖNKÖPINGS LÄN</t>
        </is>
      </c>
      <c r="E149" t="inlineStr">
        <is>
          <t>MULLSJÖ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3775-2024</t>
        </is>
      </c>
      <c r="B150" s="1" t="n">
        <v>45321</v>
      </c>
      <c r="C150" s="1" t="n">
        <v>46198</v>
      </c>
      <c r="D150" t="inlineStr">
        <is>
          <t>JÖNKÖPINGS LÄN</t>
        </is>
      </c>
      <c r="E150" t="inlineStr">
        <is>
          <t>MULLSJÖ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40661-2023</t>
        </is>
      </c>
      <c r="B151" s="1" t="n">
        <v>45170</v>
      </c>
      <c r="C151" s="1" t="n">
        <v>46198</v>
      </c>
      <c r="D151" t="inlineStr">
        <is>
          <t>JÖNKÖPINGS LÄN</t>
        </is>
      </c>
      <c r="E151" t="inlineStr">
        <is>
          <t>MULLSJÖ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15489-2024</t>
        </is>
      </c>
      <c r="B152" s="1" t="n">
        <v>45401</v>
      </c>
      <c r="C152" s="1" t="n">
        <v>46198</v>
      </c>
      <c r="D152" t="inlineStr">
        <is>
          <t>JÖNKÖPINGS LÄN</t>
        </is>
      </c>
      <c r="E152" t="inlineStr">
        <is>
          <t>MULLSJÖ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11117-2023</t>
        </is>
      </c>
      <c r="B153" s="1" t="n">
        <v>44992</v>
      </c>
      <c r="C153" s="1" t="n">
        <v>46198</v>
      </c>
      <c r="D153" t="inlineStr">
        <is>
          <t>JÖNKÖPINGS LÄN</t>
        </is>
      </c>
      <c r="E153" t="inlineStr">
        <is>
          <t>MULLSJÖ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11282-2024</t>
        </is>
      </c>
      <c r="B154" s="1" t="n">
        <v>45371</v>
      </c>
      <c r="C154" s="1" t="n">
        <v>46198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3946-2023</t>
        </is>
      </c>
      <c r="B155" s="1" t="n">
        <v>44952</v>
      </c>
      <c r="C155" s="1" t="n">
        <v>46198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47860-2023</t>
        </is>
      </c>
      <c r="B156" s="1" t="n">
        <v>45204</v>
      </c>
      <c r="C156" s="1" t="n">
        <v>46198</v>
      </c>
      <c r="D156" t="inlineStr">
        <is>
          <t>JÖNKÖPINGS LÄN</t>
        </is>
      </c>
      <c r="E156" t="inlineStr">
        <is>
          <t>MULLSJÖ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23128-2024</t>
        </is>
      </c>
      <c r="B157" s="1" t="n">
        <v>45450</v>
      </c>
      <c r="C157" s="1" t="n">
        <v>46198</v>
      </c>
      <c r="D157" t="inlineStr">
        <is>
          <t>JÖNKÖPINGS LÄN</t>
        </is>
      </c>
      <c r="E157" t="inlineStr">
        <is>
          <t>MULLSJÖ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15189-2023</t>
        </is>
      </c>
      <c r="B158" s="1" t="n">
        <v>45016</v>
      </c>
      <c r="C158" s="1" t="n">
        <v>46198</v>
      </c>
      <c r="D158" t="inlineStr">
        <is>
          <t>JÖNKÖPINGS LÄN</t>
        </is>
      </c>
      <c r="E158" t="inlineStr">
        <is>
          <t>MULLSJÖ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16571-2025</t>
        </is>
      </c>
      <c r="B159" s="1" t="n">
        <v>45752</v>
      </c>
      <c r="C159" s="1" t="n">
        <v>46198</v>
      </c>
      <c r="D159" t="inlineStr">
        <is>
          <t>JÖNKÖPINGS LÄN</t>
        </is>
      </c>
      <c r="E159" t="inlineStr">
        <is>
          <t>MULLSJÖ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58712-2023</t>
        </is>
      </c>
      <c r="B160" s="1" t="n">
        <v>45251</v>
      </c>
      <c r="C160" s="1" t="n">
        <v>46198</v>
      </c>
      <c r="D160" t="inlineStr">
        <is>
          <t>JÖNKÖPINGS LÄN</t>
        </is>
      </c>
      <c r="E160" t="inlineStr">
        <is>
          <t>MULLSJÖ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16349-2022</t>
        </is>
      </c>
      <c r="B161" s="1" t="n">
        <v>44670</v>
      </c>
      <c r="C161" s="1" t="n">
        <v>46198</v>
      </c>
      <c r="D161" t="inlineStr">
        <is>
          <t>JÖNKÖPINGS LÄN</t>
        </is>
      </c>
      <c r="E161" t="inlineStr">
        <is>
          <t>MULLSJÖ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11281-2024</t>
        </is>
      </c>
      <c r="B162" s="1" t="n">
        <v>45371</v>
      </c>
      <c r="C162" s="1" t="n">
        <v>46198</v>
      </c>
      <c r="D162" t="inlineStr">
        <is>
          <t>JÖNKÖPINGS LÄN</t>
        </is>
      </c>
      <c r="E162" t="inlineStr">
        <is>
          <t>MULLSJÖ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57423-2023</t>
        </is>
      </c>
      <c r="B163" s="1" t="n">
        <v>45246</v>
      </c>
      <c r="C163" s="1" t="n">
        <v>46198</v>
      </c>
      <c r="D163" t="inlineStr">
        <is>
          <t>JÖNKÖPINGS LÄN</t>
        </is>
      </c>
      <c r="E163" t="inlineStr">
        <is>
          <t>MULLSJÖ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16572-2025</t>
        </is>
      </c>
      <c r="B164" s="1" t="n">
        <v>45752</v>
      </c>
      <c r="C164" s="1" t="n">
        <v>46198</v>
      </c>
      <c r="D164" t="inlineStr">
        <is>
          <t>JÖNKÖPINGS LÄN</t>
        </is>
      </c>
      <c r="E164" t="inlineStr">
        <is>
          <t>MULLSJÖ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64387-2023</t>
        </is>
      </c>
      <c r="B165" s="1" t="n">
        <v>45280</v>
      </c>
      <c r="C165" s="1" t="n">
        <v>46198</v>
      </c>
      <c r="D165" t="inlineStr">
        <is>
          <t>JÖNKÖPINGS LÄN</t>
        </is>
      </c>
      <c r="E165" t="inlineStr">
        <is>
          <t>MULLSJÖ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4252-2024</t>
        </is>
      </c>
      <c r="B166" s="1" t="n">
        <v>45324</v>
      </c>
      <c r="C166" s="1" t="n">
        <v>46198</v>
      </c>
      <c r="D166" t="inlineStr">
        <is>
          <t>JÖNKÖPINGS LÄN</t>
        </is>
      </c>
      <c r="E166" t="inlineStr">
        <is>
          <t>MULLSJÖ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4957-2022</t>
        </is>
      </c>
      <c r="B167" s="1" t="n">
        <v>44593</v>
      </c>
      <c r="C167" s="1" t="n">
        <v>46198</v>
      </c>
      <c r="D167" t="inlineStr">
        <is>
          <t>JÖNKÖPINGS LÄN</t>
        </is>
      </c>
      <c r="E167" t="inlineStr">
        <is>
          <t>MULLSJÖ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29527-2024</t>
        </is>
      </c>
      <c r="B168" s="1" t="n">
        <v>45484</v>
      </c>
      <c r="C168" s="1" t="n">
        <v>46198</v>
      </c>
      <c r="D168" t="inlineStr">
        <is>
          <t>JÖNKÖPINGS LÄN</t>
        </is>
      </c>
      <c r="E168" t="inlineStr">
        <is>
          <t>MULLSJÖ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6209-2023</t>
        </is>
      </c>
      <c r="B169" s="1" t="n">
        <v>44964</v>
      </c>
      <c r="C169" s="1" t="n">
        <v>46198</v>
      </c>
      <c r="D169" t="inlineStr">
        <is>
          <t>JÖNKÖPINGS LÄN</t>
        </is>
      </c>
      <c r="E169" t="inlineStr">
        <is>
          <t>MULLSJÖ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24440-2025</t>
        </is>
      </c>
      <c r="B170" s="1" t="n">
        <v>45797</v>
      </c>
      <c r="C170" s="1" t="n">
        <v>46198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14033-2025</t>
        </is>
      </c>
      <c r="B171" s="1" t="n">
        <v>45740</v>
      </c>
      <c r="C171" s="1" t="n">
        <v>46198</v>
      </c>
      <c r="D171" t="inlineStr">
        <is>
          <t>JÖNKÖPINGS LÄN</t>
        </is>
      </c>
      <c r="E171" t="inlineStr">
        <is>
          <t>MULLSJÖ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24439-2025</t>
        </is>
      </c>
      <c r="B172" s="1" t="n">
        <v>45797</v>
      </c>
      <c r="C172" s="1" t="n">
        <v>46198</v>
      </c>
      <c r="D172" t="inlineStr">
        <is>
          <t>JÖNKÖPINGS LÄN</t>
        </is>
      </c>
      <c r="E172" t="inlineStr">
        <is>
          <t>MULLSJÖ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14029-2025</t>
        </is>
      </c>
      <c r="B173" s="1" t="n">
        <v>45740</v>
      </c>
      <c r="C173" s="1" t="n">
        <v>46198</v>
      </c>
      <c r="D173" t="inlineStr">
        <is>
          <t>JÖNKÖPINGS LÄN</t>
        </is>
      </c>
      <c r="E173" t="inlineStr">
        <is>
          <t>MULLSJÖ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25863-2025</t>
        </is>
      </c>
      <c r="B174" s="1" t="n">
        <v>45804</v>
      </c>
      <c r="C174" s="1" t="n">
        <v>46198</v>
      </c>
      <c r="D174" t="inlineStr">
        <is>
          <t>JÖNKÖPINGS LÄN</t>
        </is>
      </c>
      <c r="E174" t="inlineStr">
        <is>
          <t>MULLSJÖ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26397-2025</t>
        </is>
      </c>
      <c r="B175" s="1" t="n">
        <v>45807</v>
      </c>
      <c r="C175" s="1" t="n">
        <v>46198</v>
      </c>
      <c r="D175" t="inlineStr">
        <is>
          <t>JÖNKÖPINGS LÄN</t>
        </is>
      </c>
      <c r="E175" t="inlineStr">
        <is>
          <t>MULLSJÖ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28941-2025</t>
        </is>
      </c>
      <c r="B176" s="1" t="n">
        <v>45820</v>
      </c>
      <c r="C176" s="1" t="n">
        <v>46198</v>
      </c>
      <c r="D176" t="inlineStr">
        <is>
          <t>JÖNKÖPINGS LÄN</t>
        </is>
      </c>
      <c r="E176" t="inlineStr">
        <is>
          <t>MULLSJÖ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28942-2025</t>
        </is>
      </c>
      <c r="B177" s="1" t="n">
        <v>45820</v>
      </c>
      <c r="C177" s="1" t="n">
        <v>46198</v>
      </c>
      <c r="D177" t="inlineStr">
        <is>
          <t>JÖNKÖPINGS LÄN</t>
        </is>
      </c>
      <c r="E177" t="inlineStr">
        <is>
          <t>MULLSJÖ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2026-06-25T00:46:02Z</dcterms:created>
  <dcterms:modified xmlns:dcterms="http://purl.org/dc/terms/" xmlns:xsi="http://www.w3.org/2001/XMLSchema-instance" xsi:type="dcterms:W3CDTF">2026-06-25T00:46:03Z</dcterms:modified>
</cp:coreProperties>
</file>