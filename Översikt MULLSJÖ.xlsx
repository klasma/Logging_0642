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46255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46255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46255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46255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46255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46255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46255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46255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46255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46255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46255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46255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46255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46255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14230-2024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45393</v>
      </c>
      <c r="E21" s="1" t="n">
        <v>46255</v>
      </c>
      <c r="F21" t="inlineStr">
        <is>
          <t>JÖNKÖPINGS LÄN</t>
        </is>
      </c>
      <c r="G21" t="inlineStr">
        <is>
          <t>MULLSJÖ</t>
        </is>
      </c>
      <c r="I21" t="n">
        <v>2.9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Guldlockmossa</t>
        </is>
      </c>
      <c r="W21">
        <f>HYPERLINK("https://klasma.github.io/Logging_0642/artfynd/A 14230-2024 artfynd.xlsx", "A 14230-2024")</f>
        <v/>
      </c>
      <c r="X21">
        <f>HYPERLINK("https://klasma.github.io/Logging_0642/kartor/A 14230-2024 karta.png", "A 14230-2024")</f>
        <v/>
      </c>
      <c r="Y21">
        <f>HYPERLINK("https://klasma.github.io/Logging_0642/kartor_geotiff/A 14230-2024 georefererad karta.tif", "A 14230-2024")</f>
        <v/>
      </c>
      <c r="AA21">
        <f>HYPERLINK("https://klasma.github.io/Logging_0642/klagomål/A 14230-2024 FSC-klagomål.docx", "A 14230-2024")</f>
        <v/>
      </c>
      <c r="AB21">
        <f>HYPERLINK("https://klasma.github.io/Logging_0642/klagomålsmail/A 14230-2024 FSC-klagomål mail.docx", "A 14230-2024")</f>
        <v/>
      </c>
      <c r="AC21">
        <f>HYPERLINK("https://klasma.github.io/Logging_0642/tillsyn/A 14230-2024 tillsynsbegäran.docx", "A 14230-2024")</f>
        <v/>
      </c>
      <c r="AD21">
        <f>HYPERLINK("https://klasma.github.io/Logging_0642/tillsynsmail/A 14230-2024 tillsynsbegäran mail.docx", "A 14230-2024")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46255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46255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46255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46255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46255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46255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46255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46255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46255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46255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46255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46255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46255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46255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46255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46255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46255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46255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46255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46255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46255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46255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46255</v>
      </c>
      <c r="F44" t="inlineStr">
        <is>
          <t>JÖNKÖPINGS LÄN</t>
        </is>
      </c>
      <c r="G44" t="inlineStr">
        <is>
          <t>MULLSJÖ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46255</v>
      </c>
      <c r="F45" t="inlineStr">
        <is>
          <t>JÖNKÖPINGS LÄN</t>
        </is>
      </c>
      <c r="G45" t="inlineStr">
        <is>
          <t>MULLSJÖ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46255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46255</v>
      </c>
      <c r="F47" t="inlineStr">
        <is>
          <t>JÖNKÖPINGS LÄN</t>
        </is>
      </c>
      <c r="G47" t="inlineStr">
        <is>
          <t>MULLSJÖ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46255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46255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57025-2022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46255</v>
      </c>
      <c r="F50" t="inlineStr">
        <is>
          <t>JÖNKÖPINGS LÄN</t>
        </is>
      </c>
      <c r="G50" t="inlineStr">
        <is>
          <t>MULLSJÖ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46255</v>
      </c>
      <c r="F51" t="inlineStr">
        <is>
          <t>JÖNKÖPINGS LÄN</t>
        </is>
      </c>
      <c r="G51" t="inlineStr">
        <is>
          <t>MULLSJÖ</t>
        </is>
      </c>
      <c r="I51" t="n">
        <v>10.9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46255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46255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46255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46255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46255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46255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46255</v>
      </c>
      <c r="F58" t="inlineStr">
        <is>
          <t>JÖNKÖPINGS LÄN</t>
        </is>
      </c>
      <c r="G58" t="inlineStr">
        <is>
          <t>MULLSJÖ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45521</v>
      </c>
      <c r="E59" s="1" t="n">
        <v>46255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46255</v>
      </c>
      <c r="F60" t="inlineStr">
        <is>
          <t>JÖNKÖPINGS LÄN</t>
        </is>
      </c>
      <c r="G60" t="inlineStr">
        <is>
          <t>MULLSJÖ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44889</v>
      </c>
      <c r="E61" s="1" t="n">
        <v>46255</v>
      </c>
      <c r="F61" t="inlineStr">
        <is>
          <t>JÖNKÖPINGS LÄN</t>
        </is>
      </c>
      <c r="G61" t="inlineStr">
        <is>
          <t>MULLSJÖ</t>
        </is>
      </c>
      <c r="I61" t="n">
        <v>14.1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44896</v>
      </c>
      <c r="E62" s="1" t="n">
        <v>46255</v>
      </c>
      <c r="F62" t="inlineStr">
        <is>
          <t>JÖNKÖPINGS LÄN</t>
        </is>
      </c>
      <c r="G62" t="inlineStr">
        <is>
          <t>MULLSJÖ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14226-2024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45393</v>
      </c>
      <c r="E63" s="1" t="n">
        <v>46255</v>
      </c>
      <c r="F63" t="inlineStr">
        <is>
          <t>JÖNKÖPINGS LÄN</t>
        </is>
      </c>
      <c r="G63" t="inlineStr">
        <is>
          <t>MULLSJÖ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46255</v>
      </c>
      <c r="F64" t="inlineStr">
        <is>
          <t>JÖNKÖPINGS LÄN</t>
        </is>
      </c>
      <c r="G64" t="inlineStr">
        <is>
          <t>MULLSJÖ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46255</v>
      </c>
      <c r="F65" t="inlineStr">
        <is>
          <t>JÖNKÖPINGS LÄN</t>
        </is>
      </c>
      <c r="G65" t="inlineStr">
        <is>
          <t>MULLSJÖ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46255</v>
      </c>
      <c r="F66" t="inlineStr">
        <is>
          <t>JÖNKÖPINGS LÄN</t>
        </is>
      </c>
      <c r="G66" t="inlineStr">
        <is>
          <t>MULLSJÖ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44656</v>
      </c>
      <c r="E67" s="1" t="n">
        <v>46255</v>
      </c>
      <c r="F67" t="inlineStr">
        <is>
          <t>JÖNKÖPINGS LÄN</t>
        </is>
      </c>
      <c r="G67" t="inlineStr">
        <is>
          <t>MULLSJÖ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46255</v>
      </c>
      <c r="F68" t="inlineStr">
        <is>
          <t>JÖNKÖPINGS LÄN</t>
        </is>
      </c>
      <c r="G68" t="inlineStr">
        <is>
          <t>MULLSJÖ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44707</v>
      </c>
      <c r="E69" s="1" t="n">
        <v>46255</v>
      </c>
      <c r="F69" t="inlineStr">
        <is>
          <t>JÖNKÖPINGS LÄN</t>
        </is>
      </c>
      <c r="G69" t="inlineStr">
        <is>
          <t>MULLSJÖ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46255</v>
      </c>
      <c r="F70" t="inlineStr">
        <is>
          <t>JÖNKÖPINGS LÄN</t>
        </is>
      </c>
      <c r="G70" t="inlineStr">
        <is>
          <t>MULLSJÖ</t>
        </is>
      </c>
      <c r="I70" t="n">
        <v>15.1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46255</v>
      </c>
      <c r="F71" t="inlineStr">
        <is>
          <t>JÖNKÖPINGS LÄN</t>
        </is>
      </c>
      <c r="G71" t="inlineStr">
        <is>
          <t>MULLSJÖ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12273-2023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44998</v>
      </c>
      <c r="E72" s="1" t="n">
        <v>46255</v>
      </c>
      <c r="F72" t="inlineStr">
        <is>
          <t>JÖNKÖPINGS LÄN</t>
        </is>
      </c>
      <c r="G72" t="inlineStr">
        <is>
          <t>MULLSJÖ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42155-2025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45904</v>
      </c>
      <c r="E73" s="1" t="n">
        <v>46255</v>
      </c>
      <c r="F73" t="inlineStr">
        <is>
          <t>JÖNKÖPINGS LÄN</t>
        </is>
      </c>
      <c r="G73" t="inlineStr">
        <is>
          <t>MULLSJÖ</t>
        </is>
      </c>
      <c r="H73" t="inlineStr">
        <is>
          <t>Kyrkan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46255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46255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46255</v>
      </c>
      <c r="F76" t="inlineStr">
        <is>
          <t>JÖNKÖPINGS LÄN</t>
        </is>
      </c>
      <c r="G76" t="inlineStr">
        <is>
          <t>MULLSJÖ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46255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46255</v>
      </c>
      <c r="F78" t="inlineStr">
        <is>
          <t>JÖNKÖPINGS LÄN</t>
        </is>
      </c>
      <c r="G78" t="inlineStr">
        <is>
          <t>MULLSJÖ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46255</v>
      </c>
      <c r="F79" t="inlineStr">
        <is>
          <t>JÖNKÖPINGS LÄN</t>
        </is>
      </c>
      <c r="G79" t="inlineStr">
        <is>
          <t>MULLSJÖ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46255</v>
      </c>
      <c r="F80" t="inlineStr">
        <is>
          <t>JÖNKÖPINGS LÄN</t>
        </is>
      </c>
      <c r="G80" t="inlineStr">
        <is>
          <t>MULLSJÖ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46255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46255</v>
      </c>
      <c r="F82" t="inlineStr">
        <is>
          <t>JÖNKÖPINGS LÄN</t>
        </is>
      </c>
      <c r="G82" t="inlineStr">
        <is>
          <t>MULLSJÖ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46255</v>
      </c>
      <c r="F83" t="inlineStr">
        <is>
          <t>JÖNKÖPINGS LÄN</t>
        </is>
      </c>
      <c r="G83" t="inlineStr">
        <is>
          <t>MULLSJÖ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45928</v>
      </c>
      <c r="E84" s="1" t="n">
        <v>46255</v>
      </c>
      <c r="F84" t="inlineStr">
        <is>
          <t>JÖNKÖPINGS LÄN</t>
        </is>
      </c>
      <c r="G84" t="inlineStr">
        <is>
          <t>MULLSJÖ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46255</v>
      </c>
      <c r="F85" t="inlineStr">
        <is>
          <t>JÖNKÖPINGS LÄN</t>
        </is>
      </c>
      <c r="G85" t="inlineStr">
        <is>
          <t>MULLSJÖ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46255</v>
      </c>
      <c r="F86" t="inlineStr">
        <is>
          <t>JÖNKÖPINGS LÄN</t>
        </is>
      </c>
      <c r="G86" t="inlineStr">
        <is>
          <t>MULLSJÖ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46255</v>
      </c>
      <c r="F87" t="inlineStr">
        <is>
          <t>JÖNKÖPINGS LÄN</t>
        </is>
      </c>
      <c r="G87" t="inlineStr">
        <is>
          <t>MULLSJÖ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46255</v>
      </c>
      <c r="F88" t="inlineStr">
        <is>
          <t>JÖNKÖPINGS LÄN</t>
        </is>
      </c>
      <c r="G88" t="inlineStr">
        <is>
          <t>MULLSJÖ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12351-2026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46088</v>
      </c>
      <c r="E89" s="1" t="n">
        <v>46255</v>
      </c>
      <c r="F89" t="inlineStr">
        <is>
          <t>JÖNKÖPINGS LÄN</t>
        </is>
      </c>
      <c r="G89" t="inlineStr">
        <is>
          <t>MULLSJÖ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45953</v>
      </c>
      <c r="E90" s="1" t="n">
        <v>46255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16573-2025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45752</v>
      </c>
      <c r="E91" s="1" t="n">
        <v>46255</v>
      </c>
      <c r="F91" t="inlineStr">
        <is>
          <t>JÖNKÖPINGS LÄN</t>
        </is>
      </c>
      <c r="G91" t="inlineStr">
        <is>
          <t>MULLSJÖ</t>
        </is>
      </c>
      <c r="I91" t="n">
        <v>9.6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46255</v>
      </c>
      <c r="F92" t="inlineStr">
        <is>
          <t>JÖNKÖPINGS LÄN</t>
        </is>
      </c>
      <c r="G92" t="inlineStr">
        <is>
          <t>MULLSJÖ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46255</v>
      </c>
      <c r="F93" t="inlineStr">
        <is>
          <t>JÖNKÖPINGS LÄN</t>
        </is>
      </c>
      <c r="G93" t="inlineStr">
        <is>
          <t>MULLSJÖ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46255</v>
      </c>
      <c r="F94" t="inlineStr">
        <is>
          <t>JÖNKÖPINGS LÄN</t>
        </is>
      </c>
      <c r="G94" t="inlineStr">
        <is>
          <t>MULLSJÖ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46255</v>
      </c>
      <c r="F95" t="inlineStr">
        <is>
          <t>JÖNKÖPINGS LÄN</t>
        </is>
      </c>
      <c r="G95" t="inlineStr">
        <is>
          <t>MULLSJÖ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46255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45752</v>
      </c>
      <c r="E97" s="1" t="n">
        <v>46255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46255</v>
      </c>
      <c r="F98" t="inlineStr">
        <is>
          <t>JÖNKÖPINGS LÄN</t>
        </is>
      </c>
      <c r="G98" t="inlineStr">
        <is>
          <t>MULLSJÖ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45495</v>
      </c>
      <c r="E99" s="1" t="n">
        <v>46255</v>
      </c>
      <c r="F99" t="inlineStr">
        <is>
          <t>JÖNKÖPINGS LÄN</t>
        </is>
      </c>
      <c r="G99" t="inlineStr">
        <is>
          <t>MULLSJÖ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45313</v>
      </c>
      <c r="E100" s="1" t="n">
        <v>46255</v>
      </c>
      <c r="F100" t="inlineStr">
        <is>
          <t>JÖNKÖPINGS LÄN</t>
        </is>
      </c>
      <c r="G100" t="inlineStr">
        <is>
          <t>MULLSJÖ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44954</v>
      </c>
      <c r="E101" s="1" t="n">
        <v>46255</v>
      </c>
      <c r="F101" t="inlineStr">
        <is>
          <t>JÖNKÖPINGS LÄN</t>
        </is>
      </c>
      <c r="G101" t="inlineStr">
        <is>
          <t>MULLSJÖ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46255</v>
      </c>
      <c r="F102" t="inlineStr">
        <is>
          <t>JÖNKÖPINGS LÄN</t>
        </is>
      </c>
      <c r="G102" t="inlineStr">
        <is>
          <t>MULLSJÖ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46255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46255</v>
      </c>
      <c r="F104" t="inlineStr">
        <is>
          <t>JÖNKÖPINGS LÄN</t>
        </is>
      </c>
      <c r="G104" t="inlineStr">
        <is>
          <t>MULLSJÖ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46255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46255</v>
      </c>
      <c r="F106" t="inlineStr">
        <is>
          <t>JÖNKÖPINGS LÄN</t>
        </is>
      </c>
      <c r="G106" t="inlineStr">
        <is>
          <t>MULLSJÖ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46255</v>
      </c>
      <c r="F107" t="inlineStr">
        <is>
          <t>JÖNKÖPINGS LÄN</t>
        </is>
      </c>
      <c r="G107" t="inlineStr">
        <is>
          <t>MULLSJÖ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45305</v>
      </c>
      <c r="E108" s="1" t="n">
        <v>46255</v>
      </c>
      <c r="F108" t="inlineStr">
        <is>
          <t>JÖNKÖPINGS LÄN</t>
        </is>
      </c>
      <c r="G108" t="inlineStr">
        <is>
          <t>MULLSJÖ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46255</v>
      </c>
      <c r="F109" t="inlineStr">
        <is>
          <t>JÖNKÖPINGS LÄN</t>
        </is>
      </c>
      <c r="G109" t="inlineStr">
        <is>
          <t>MULLSJÖ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18421-2026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46126</v>
      </c>
      <c r="E110" s="1" t="n">
        <v>46255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19107-2023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45048</v>
      </c>
      <c r="E111" s="1" t="n">
        <v>46255</v>
      </c>
      <c r="F111" t="inlineStr">
        <is>
          <t>JÖNKÖPINGS LÄN</t>
        </is>
      </c>
      <c r="G111" t="inlineStr">
        <is>
          <t>MULLSJÖ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46255</v>
      </c>
      <c r="F112" t="inlineStr">
        <is>
          <t>JÖNKÖPINGS LÄN</t>
        </is>
      </c>
      <c r="G112" t="inlineStr">
        <is>
          <t>MULLSJÖ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37797-2024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45543</v>
      </c>
      <c r="E113" s="1" t="n">
        <v>46255</v>
      </c>
      <c r="F113" t="inlineStr">
        <is>
          <t>JÖNKÖPINGS LÄN</t>
        </is>
      </c>
      <c r="G113" t="inlineStr">
        <is>
          <t>MULLSJÖ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45543</v>
      </c>
      <c r="E114" s="1" t="n">
        <v>46255</v>
      </c>
      <c r="F114" t="inlineStr">
        <is>
          <t>JÖNKÖPINGS LÄN</t>
        </is>
      </c>
      <c r="G114" t="inlineStr">
        <is>
          <t>MULLSJÖ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45752</v>
      </c>
      <c r="E115" s="1" t="n">
        <v>46255</v>
      </c>
      <c r="F115" t="inlineStr">
        <is>
          <t>JÖNKÖPINGS LÄN</t>
        </is>
      </c>
      <c r="G115" t="inlineStr">
        <is>
          <t>MULLSJÖ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46255</v>
      </c>
      <c r="F116" t="inlineStr">
        <is>
          <t>JÖNKÖPINGS LÄN</t>
        </is>
      </c>
      <c r="G116" t="inlineStr">
        <is>
          <t>MULLSJÖ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7654-2022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46255</v>
      </c>
      <c r="F117" t="inlineStr">
        <is>
          <t>JÖNKÖPINGS LÄN</t>
        </is>
      </c>
      <c r="G117" t="inlineStr">
        <is>
          <t>MULLSJÖ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46255</v>
      </c>
      <c r="F118" t="inlineStr">
        <is>
          <t>JÖNKÖPINGS LÄN</t>
        </is>
      </c>
      <c r="G118" t="inlineStr">
        <is>
          <t>MULLSJÖ</t>
        </is>
      </c>
      <c r="I118" t="n">
        <v>7.7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45201</v>
      </c>
      <c r="E119" s="1" t="n">
        <v>46255</v>
      </c>
      <c r="F119" t="inlineStr">
        <is>
          <t>JÖNKÖPINGS LÄN</t>
        </is>
      </c>
      <c r="G119" t="inlineStr">
        <is>
          <t>MULLSJÖ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46255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46255</v>
      </c>
      <c r="F121" t="inlineStr">
        <is>
          <t>JÖNKÖPINGS LÄN</t>
        </is>
      </c>
      <c r="G121" t="inlineStr">
        <is>
          <t>MULLSJÖ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45682</v>
      </c>
      <c r="E122" s="1" t="n">
        <v>46255</v>
      </c>
      <c r="F122" t="inlineStr">
        <is>
          <t>JÖNKÖPINGS LÄN</t>
        </is>
      </c>
      <c r="G122" t="inlineStr">
        <is>
          <t>MULLSJÖ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46255</v>
      </c>
      <c r="F123" t="inlineStr">
        <is>
          <t>JÖNKÖPINGS LÄN</t>
        </is>
      </c>
      <c r="G123" t="inlineStr">
        <is>
          <t>MULLSJÖ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45686</v>
      </c>
      <c r="E124" s="1" t="n">
        <v>46255</v>
      </c>
      <c r="F124" t="inlineStr">
        <is>
          <t>JÖNKÖPINGS LÄN</t>
        </is>
      </c>
      <c r="G124" t="inlineStr">
        <is>
          <t>MULLSJÖ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46255</v>
      </c>
      <c r="F125" t="inlineStr">
        <is>
          <t>JÖNKÖPINGS LÄN</t>
        </is>
      </c>
      <c r="G125" t="inlineStr">
        <is>
          <t>MULLSJÖ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46255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45214</v>
      </c>
      <c r="E127" s="1" t="n">
        <v>46255</v>
      </c>
      <c r="F127" t="inlineStr">
        <is>
          <t>JÖNKÖPINGS LÄN</t>
        </is>
      </c>
      <c r="G127" t="inlineStr">
        <is>
          <t>MULLSJÖ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45637</v>
      </c>
      <c r="E128" s="1" t="n">
        <v>46255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46255</v>
      </c>
      <c r="F129" t="inlineStr">
        <is>
          <t>JÖNKÖPINGS LÄN</t>
        </is>
      </c>
      <c r="G129" t="inlineStr">
        <is>
          <t>MULLSJÖ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44670</v>
      </c>
      <c r="E130" s="1" t="n">
        <v>46255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45083</v>
      </c>
      <c r="E131" s="1" t="n">
        <v>46255</v>
      </c>
      <c r="F131" t="inlineStr">
        <is>
          <t>JÖNKÖPINGS LÄN</t>
        </is>
      </c>
      <c r="G131" t="inlineStr">
        <is>
          <t>MULLSJÖ</t>
        </is>
      </c>
      <c r="I131" t="n">
        <v>13.1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46255</v>
      </c>
      <c r="F132" t="inlineStr">
        <is>
          <t>JÖNKÖPINGS LÄN</t>
        </is>
      </c>
      <c r="G132" t="inlineStr">
        <is>
          <t>MULLSJÖ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46255</v>
      </c>
      <c r="F133" t="inlineStr">
        <is>
          <t>JÖNKÖPINGS LÄN</t>
        </is>
      </c>
      <c r="G133" t="inlineStr">
        <is>
          <t>MULLSJÖ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44796</v>
      </c>
      <c r="E134" s="1" t="n">
        <v>46255</v>
      </c>
      <c r="F134" t="inlineStr">
        <is>
          <t>JÖNKÖPINGS LÄN</t>
        </is>
      </c>
      <c r="G134" t="inlineStr">
        <is>
          <t>MULLSJÖ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45372</v>
      </c>
      <c r="E135" s="1" t="n">
        <v>46255</v>
      </c>
      <c r="F135" t="inlineStr">
        <is>
          <t>JÖNKÖPINGS LÄN</t>
        </is>
      </c>
      <c r="G135" t="inlineStr">
        <is>
          <t>MULLSJÖ</t>
        </is>
      </c>
      <c r="H135" t="inlineStr">
        <is>
          <t>Kyrkan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46255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46255</v>
      </c>
      <c r="F137" t="inlineStr">
        <is>
          <t>JÖNKÖPINGS LÄN</t>
        </is>
      </c>
      <c r="G137" t="inlineStr">
        <is>
          <t>MULLSJÖ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45478</v>
      </c>
      <c r="E138" s="1" t="n">
        <v>46255</v>
      </c>
      <c r="F138" t="inlineStr">
        <is>
          <t>JÖNKÖPINGS LÄN</t>
        </is>
      </c>
      <c r="G138" t="inlineStr">
        <is>
          <t>MULLSJÖ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46255</v>
      </c>
      <c r="F139" t="inlineStr">
        <is>
          <t>JÖNKÖPINGS LÄN</t>
        </is>
      </c>
      <c r="G139" t="inlineStr">
        <is>
          <t>MULLSJÖ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44954</v>
      </c>
      <c r="E140" s="1" t="n">
        <v>46255</v>
      </c>
      <c r="F140" t="inlineStr">
        <is>
          <t>JÖNKÖPINGS LÄN</t>
        </is>
      </c>
      <c r="G140" t="inlineStr">
        <is>
          <t>MULLSJÖ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46255</v>
      </c>
      <c r="F141" t="inlineStr">
        <is>
          <t>JÖNKÖPINGS LÄN</t>
        </is>
      </c>
      <c r="G141" t="inlineStr">
        <is>
          <t>MULLSJÖ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44964</v>
      </c>
      <c r="E142" s="1" t="n">
        <v>46255</v>
      </c>
      <c r="F142" t="inlineStr">
        <is>
          <t>JÖNKÖPINGS LÄN</t>
        </is>
      </c>
      <c r="G142" t="inlineStr">
        <is>
          <t>MULLSJÖ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46216</v>
      </c>
      <c r="E143" s="1" t="n">
        <v>46255</v>
      </c>
      <c r="F143" t="inlineStr">
        <is>
          <t>JÖNKÖPINGS LÄN</t>
        </is>
      </c>
      <c r="G143" t="inlineStr">
        <is>
          <t>MULLSJÖ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46255</v>
      </c>
      <c r="F144" t="inlineStr">
        <is>
          <t>JÖNKÖPINGS LÄN</t>
        </is>
      </c>
      <c r="G144" t="inlineStr">
        <is>
          <t>MULLSJÖ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46255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46255</v>
      </c>
      <c r="F146" t="inlineStr">
        <is>
          <t>JÖNKÖPINGS LÄN</t>
        </is>
      </c>
      <c r="G146" t="inlineStr">
        <is>
          <t>MULLSJÖ</t>
        </is>
      </c>
      <c r="H146" t="inlineStr">
        <is>
          <t>Kommuner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  <c r="Z146">
        <f>HYPERLINK("https://klasma.github.io/Logging_0642/knärot/A 7181-2023 karta knärot.png", "A 7181-2023")</f>
        <v/>
      </c>
      <c r="AA146">
        <f>HYPERLINK("https://klasma.github.io/Logging_0642/klagomål/A 7181-2023 FSC-klagomål.docx", "A 7181-2023")</f>
        <v/>
      </c>
      <c r="AB146">
        <f>HYPERLINK("https://klasma.github.io/Logging_0642/klagomålsmail/A 7181-2023 FSC-klagomål mail.docx", "A 7181-2023")</f>
        <v/>
      </c>
      <c r="AC146">
        <f>HYPERLINK("https://klasma.github.io/Logging_0642/tillsyn/A 7181-2023 tillsynsbegäran.docx", "A 7181-2023")</f>
        <v/>
      </c>
      <c r="AD146">
        <f>HYPERLINK("https://klasma.github.io/Logging_0642/tillsynsmail/A 7181-2023 tillsynsbegäran mail.docx", "A 7181-2023")</f>
        <v/>
      </c>
    </row>
    <row r="147" ht="15" customHeight="1">
      <c r="A147" t="inlineStr">
        <is>
          <t>A 28605-2023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46255</v>
      </c>
      <c r="F147" t="inlineStr">
        <is>
          <t>JÖNKÖPINGS LÄN</t>
        </is>
      </c>
      <c r="G147" t="inlineStr">
        <is>
          <t>MULLSJÖ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71048-2021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46255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45244</v>
      </c>
      <c r="E149" s="1" t="n">
        <v>46255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46255</v>
      </c>
      <c r="F150" t="inlineStr">
        <is>
          <t>JÖNKÖPINGS LÄN</t>
        </is>
      </c>
      <c r="G150" t="inlineStr">
        <is>
          <t>MULLSJÖ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44954</v>
      </c>
      <c r="E151" s="1" t="n">
        <v>46255</v>
      </c>
      <c r="F151" t="inlineStr">
        <is>
          <t>JÖNKÖPINGS LÄN</t>
        </is>
      </c>
      <c r="G151" t="inlineStr">
        <is>
          <t>MULLSJÖ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46255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46255</v>
      </c>
      <c r="F153" t="inlineStr">
        <is>
          <t>JÖNKÖPINGS LÄN</t>
        </is>
      </c>
      <c r="G153" t="inlineStr">
        <is>
          <t>MULLSJÖ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46255</v>
      </c>
      <c r="F154" t="inlineStr">
        <is>
          <t>JÖNKÖPINGS LÄN</t>
        </is>
      </c>
      <c r="G154" t="inlineStr">
        <is>
          <t>MULLSJÖ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46255</v>
      </c>
      <c r="F155" t="inlineStr">
        <is>
          <t>JÖNKÖPINGS LÄN</t>
        </is>
      </c>
      <c r="G155" t="inlineStr">
        <is>
          <t>MULLSJÖ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46255</v>
      </c>
      <c r="F156" t="inlineStr">
        <is>
          <t>JÖNKÖPINGS LÄN</t>
        </is>
      </c>
      <c r="G156" t="inlineStr">
        <is>
          <t>MULLSJÖ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45676</v>
      </c>
      <c r="E157" s="1" t="n">
        <v>46255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46255</v>
      </c>
      <c r="F158" t="inlineStr">
        <is>
          <t>JÖNKÖPINGS LÄN</t>
        </is>
      </c>
      <c r="G158" t="inlineStr">
        <is>
          <t>MULLSJÖ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46255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46255</v>
      </c>
      <c r="F160" t="inlineStr">
        <is>
          <t>JÖNKÖPINGS LÄN</t>
        </is>
      </c>
      <c r="G160" t="inlineStr">
        <is>
          <t>MULLSJÖ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46255</v>
      </c>
      <c r="F161" t="inlineStr">
        <is>
          <t>JÖNKÖPINGS LÄN</t>
        </is>
      </c>
      <c r="G161" t="inlineStr">
        <is>
          <t>MULLSJÖ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46255</v>
      </c>
      <c r="F162" t="inlineStr">
        <is>
          <t>JÖNKÖPINGS LÄN</t>
        </is>
      </c>
      <c r="G162" t="inlineStr">
        <is>
          <t>MULLSJÖ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46255</v>
      </c>
      <c r="F163" t="inlineStr">
        <is>
          <t>JÖNKÖPINGS LÄN</t>
        </is>
      </c>
      <c r="G163" t="inlineStr">
        <is>
          <t>MULLSJÖ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46255</v>
      </c>
      <c r="F164" t="inlineStr">
        <is>
          <t>JÖNKÖPINGS LÄN</t>
        </is>
      </c>
      <c r="G164" t="inlineStr">
        <is>
          <t>MULLSJÖ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44700</v>
      </c>
      <c r="E165" s="1" t="n">
        <v>46255</v>
      </c>
      <c r="F165" t="inlineStr">
        <is>
          <t>JÖNKÖPINGS LÄN</t>
        </is>
      </c>
      <c r="G165" t="inlineStr">
        <is>
          <t>MULLSJÖ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46255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46255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46255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46255</v>
      </c>
      <c r="F169" t="inlineStr">
        <is>
          <t>JÖNKÖPINGS LÄN</t>
        </is>
      </c>
      <c r="G169" t="inlineStr">
        <is>
          <t>MULLSJÖ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45484</v>
      </c>
      <c r="E170" s="1" t="n">
        <v>46255</v>
      </c>
      <c r="F170" t="inlineStr">
        <is>
          <t>JÖNKÖPINGS LÄN</t>
        </is>
      </c>
      <c r="G170" t="inlineStr">
        <is>
          <t>MULLSJÖ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46255</v>
      </c>
      <c r="F171" t="inlineStr">
        <is>
          <t>JÖNKÖPINGS LÄN</t>
        </is>
      </c>
      <c r="G171" t="inlineStr">
        <is>
          <t>MULLSJÖ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46255</v>
      </c>
      <c r="F172" t="inlineStr">
        <is>
          <t>JÖNKÖPINGS LÄN</t>
        </is>
      </c>
      <c r="G172" t="inlineStr">
        <is>
          <t>MULLSJÖ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46255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46255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46255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46255</v>
      </c>
      <c r="F176" t="inlineStr">
        <is>
          <t>JÖNKÖPINGS LÄN</t>
        </is>
      </c>
      <c r="G176" t="inlineStr">
        <is>
          <t>MULLSJÖ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46255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46255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46255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2026-08-21T01:50:34Z</dcterms:created>
  <dcterms:modified xmlns:dcterms="http://purl.org/dc/terms/" xmlns:xsi="http://www.w3.org/2001/XMLSchema-instance" xsi:type="dcterms:W3CDTF">2026-08-21T01:50:34Z</dcterms:modified>
</cp:coreProperties>
</file>