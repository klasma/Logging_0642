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45581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45581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45581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45581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45581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45581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45581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45581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15187-2023</t>
        </is>
      </c>
      <c r="B10" s="1" t="n">
        <v>45016</v>
      </c>
      <c r="C10" s="1" t="n">
        <v>45581</v>
      </c>
      <c r="D10" t="inlineStr">
        <is>
          <t>JÖNKÖPINGS LÄN</t>
        </is>
      </c>
      <c r="E10" t="inlineStr">
        <is>
          <t>MULLSJÖ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HYPERLINK("https://klasma.github.io/Logging_0642/artfynd/A 15187-2023 artfynd.xlsx", "A 15187-2023")</f>
        <v/>
      </c>
      <c r="T10">
        <f>HYPERLINK("https://klasma.github.io/Logging_0642/kartor/A 15187-2023 karta.png", "A 15187-2023")</f>
        <v/>
      </c>
      <c r="V10">
        <f>HYPERLINK("https://klasma.github.io/Logging_0642/klagomål/A 15187-2023 FSC-klagomål.docx", "A 15187-2023")</f>
        <v/>
      </c>
      <c r="W10">
        <f>HYPERLINK("https://klasma.github.io/Logging_0642/klagomålsmail/A 15187-2023 FSC-klagomål mail.docx", "A 15187-2023")</f>
        <v/>
      </c>
      <c r="X10">
        <f>HYPERLINK("https://klasma.github.io/Logging_0642/tillsyn/A 15187-2023 tillsynsbegäran.docx", "A 15187-2023")</f>
        <v/>
      </c>
      <c r="Y10">
        <f>HYPERLINK("https://klasma.github.io/Logging_0642/tillsynsmail/A 15187-2023 tillsynsbegäran mail.docx", "A 15187-2023")</f>
        <v/>
      </c>
    </row>
    <row r="11" ht="15" customHeight="1">
      <c r="A11" t="inlineStr">
        <is>
          <t>A 2493-2024</t>
        </is>
      </c>
      <c r="B11" s="1" t="n">
        <v>45313</v>
      </c>
      <c r="C11" s="1" t="n">
        <v>45581</v>
      </c>
      <c r="D11" t="inlineStr">
        <is>
          <t>JÖNKÖPINGS LÄN</t>
        </is>
      </c>
      <c r="E11" t="inlineStr">
        <is>
          <t>MULLSJÖ</t>
        </is>
      </c>
      <c r="G11" t="n">
        <v>4.4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HYPERLINK("https://klasma.github.io/Logging_0642/artfynd/A 2493-2024 artfynd.xlsx", "A 2493-2024")</f>
        <v/>
      </c>
      <c r="T11">
        <f>HYPERLINK("https://klasma.github.io/Logging_0642/kartor/A 2493-2024 karta.png", "A 2493-2024")</f>
        <v/>
      </c>
      <c r="V11">
        <f>HYPERLINK("https://klasma.github.io/Logging_0642/klagomål/A 2493-2024 FSC-klagomål.docx", "A 2493-2024")</f>
        <v/>
      </c>
      <c r="W11">
        <f>HYPERLINK("https://klasma.github.io/Logging_0642/klagomålsmail/A 2493-2024 FSC-klagomål mail.docx", "A 2493-2024")</f>
        <v/>
      </c>
      <c r="X11">
        <f>HYPERLINK("https://klasma.github.io/Logging_0642/tillsyn/A 2493-2024 tillsynsbegäran.docx", "A 2493-2024")</f>
        <v/>
      </c>
      <c r="Y11">
        <f>HYPERLINK("https://klasma.github.io/Logging_0642/tillsynsmail/A 2493-2024 tillsynsbegäran mail.docx", "A 2493-2024")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45581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17410-2024</t>
        </is>
      </c>
      <c r="B13" s="1" t="n">
        <v>45414</v>
      </c>
      <c r="C13" s="1" t="n">
        <v>45581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23126-2024</t>
        </is>
      </c>
      <c r="B14" s="1" t="n">
        <v>45450</v>
      </c>
      <c r="C14" s="1" t="n">
        <v>45581</v>
      </c>
      <c r="D14" t="inlineStr">
        <is>
          <t>JÖNKÖPINGS LÄN</t>
        </is>
      </c>
      <c r="E14" t="inlineStr">
        <is>
          <t>MULLSJÖ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HYPERLINK("https://klasma.github.io/Logging_0642/artfynd/A 23126-2024 artfynd.xlsx", "A 23126-2024")</f>
        <v/>
      </c>
      <c r="T14">
        <f>HYPERLINK("https://klasma.github.io/Logging_0642/kartor/A 23126-2024 karta.png", "A 23126-2024")</f>
        <v/>
      </c>
      <c r="V14">
        <f>HYPERLINK("https://klasma.github.io/Logging_0642/klagomål/A 23126-2024 FSC-klagomål.docx", "A 23126-2024")</f>
        <v/>
      </c>
      <c r="W14">
        <f>HYPERLINK("https://klasma.github.io/Logging_0642/klagomålsmail/A 23126-2024 FSC-klagomål mail.docx", "A 23126-2024")</f>
        <v/>
      </c>
      <c r="X14">
        <f>HYPERLINK("https://klasma.github.io/Logging_0642/tillsyn/A 23126-2024 tillsynsbegäran.docx", "A 23126-2024")</f>
        <v/>
      </c>
      <c r="Y14">
        <f>HYPERLINK("https://klasma.github.io/Logging_0642/tillsynsmail/A 23126-2024 tillsynsbegäran mail.docx", "A 23126-2024")</f>
        <v/>
      </c>
    </row>
    <row r="15" ht="15" customHeight="1">
      <c r="A15" t="inlineStr">
        <is>
          <t>A 26741-2024</t>
        </is>
      </c>
      <c r="B15" s="1" t="n">
        <v>45469</v>
      </c>
      <c r="C15" s="1" t="n">
        <v>45581</v>
      </c>
      <c r="D15" t="inlineStr">
        <is>
          <t>JÖNKÖPINGS LÄN</t>
        </is>
      </c>
      <c r="E15" t="inlineStr">
        <is>
          <t>MULLSJÖ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HYPERLINK("https://klasma.github.io/Logging_0642/artfynd/A 26741-2024 artfynd.xlsx", "A 26741-2024")</f>
        <v/>
      </c>
      <c r="T15">
        <f>HYPERLINK("https://klasma.github.io/Logging_0642/kartor/A 26741-2024 karta.png", "A 26741-2024")</f>
        <v/>
      </c>
      <c r="V15">
        <f>HYPERLINK("https://klasma.github.io/Logging_0642/klagomål/A 26741-2024 FSC-klagomål.docx", "A 26741-2024")</f>
        <v/>
      </c>
      <c r="W15">
        <f>HYPERLINK("https://klasma.github.io/Logging_0642/klagomålsmail/A 26741-2024 FSC-klagomål mail.docx", "A 26741-2024")</f>
        <v/>
      </c>
      <c r="X15">
        <f>HYPERLINK("https://klasma.github.io/Logging_0642/tillsyn/A 26741-2024 tillsynsbegäran.docx", "A 26741-2024")</f>
        <v/>
      </c>
      <c r="Y15">
        <f>HYPERLINK("https://klasma.github.io/Logging_0642/tillsynsmail/A 26741-2024 tillsynsbegäran mail.docx", "A 26741-2024")</f>
        <v/>
      </c>
    </row>
    <row r="16" ht="15" customHeight="1">
      <c r="A16" t="inlineStr">
        <is>
          <t>A 45507-2024</t>
        </is>
      </c>
      <c r="B16" s="1" t="n">
        <v>45578</v>
      </c>
      <c r="C16" s="1" t="n">
        <v>45581</v>
      </c>
      <c r="D16" t="inlineStr">
        <is>
          <t>JÖNKÖPINGS LÄN</t>
        </is>
      </c>
      <c r="E16" t="inlineStr">
        <is>
          <t>MULLSJÖ</t>
        </is>
      </c>
      <c r="G16" t="n">
        <v>1.7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HYPERLINK("https://klasma.github.io/Logging_0642/artfynd/A 45507-2024 artfynd.xlsx", "A 45507-2024")</f>
        <v/>
      </c>
      <c r="T16">
        <f>HYPERLINK("https://klasma.github.io/Logging_0642/kartor/A 45507-2024 karta.png", "A 45507-2024")</f>
        <v/>
      </c>
      <c r="U16">
        <f>HYPERLINK("https://klasma.github.io/Logging_0642/knärot/A 45507-2024 karta knärot.png", "A 45507-2024")</f>
        <v/>
      </c>
      <c r="V16">
        <f>HYPERLINK("https://klasma.github.io/Logging_0642/klagomål/A 45507-2024 FSC-klagomål.docx", "A 45507-2024")</f>
        <v/>
      </c>
      <c r="W16">
        <f>HYPERLINK("https://klasma.github.io/Logging_0642/klagomålsmail/A 45507-2024 FSC-klagomål mail.docx", "A 45507-2024")</f>
        <v/>
      </c>
      <c r="X16">
        <f>HYPERLINK("https://klasma.github.io/Logging_0642/tillsyn/A 45507-2024 tillsynsbegäran.docx", "A 45507-2024")</f>
        <v/>
      </c>
      <c r="Y16">
        <f>HYPERLINK("https://klasma.github.io/Logging_0642/tillsynsmail/A 45507-2024 tillsynsbegäran mail.docx", "A 45507-2024")</f>
        <v/>
      </c>
    </row>
    <row r="17" ht="15" customHeight="1">
      <c r="A17" t="inlineStr">
        <is>
          <t>A 33226-2019</t>
        </is>
      </c>
      <c r="B17" s="1" t="n">
        <v>43650</v>
      </c>
      <c r="C17" s="1" t="n">
        <v>45581</v>
      </c>
      <c r="D17" t="inlineStr">
        <is>
          <t>JÖNKÖPINGS LÄN</t>
        </is>
      </c>
      <c r="E17" t="inlineStr">
        <is>
          <t>MULLSJÖ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33770-2019</t>
        </is>
      </c>
      <c r="B18" s="1" t="n">
        <v>43651</v>
      </c>
      <c r="C18" s="1" t="n">
        <v>45581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33775-2019</t>
        </is>
      </c>
      <c r="B19" s="1" t="n">
        <v>43651</v>
      </c>
      <c r="C19" s="1" t="n">
        <v>45581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34064-2019</t>
        </is>
      </c>
      <c r="B20" s="1" t="n">
        <v>43654</v>
      </c>
      <c r="C20" s="1" t="n">
        <v>45581</v>
      </c>
      <c r="D20" t="inlineStr">
        <is>
          <t>JÖNKÖPINGS LÄN</t>
        </is>
      </c>
      <c r="E20" t="inlineStr">
        <is>
          <t>MULLSJÖ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34193-2019</t>
        </is>
      </c>
      <c r="B21" s="1" t="n">
        <v>43655</v>
      </c>
      <c r="C21" s="1" t="n">
        <v>45581</v>
      </c>
      <c r="D21" t="inlineStr">
        <is>
          <t>JÖNKÖPINGS LÄN</t>
        </is>
      </c>
      <c r="E21" t="inlineStr">
        <is>
          <t>MULLSJÖ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34399-2019</t>
        </is>
      </c>
      <c r="B22" s="1" t="n">
        <v>43656</v>
      </c>
      <c r="C22" s="1" t="n">
        <v>45581</v>
      </c>
      <c r="D22" t="inlineStr">
        <is>
          <t>JÖNKÖPINGS LÄN</t>
        </is>
      </c>
      <c r="E22" t="inlineStr">
        <is>
          <t>MULLSJÖ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34507-2019</t>
        </is>
      </c>
      <c r="B23" s="1" t="n">
        <v>43657</v>
      </c>
      <c r="C23" s="1" t="n">
        <v>45581</v>
      </c>
      <c r="D23" t="inlineStr">
        <is>
          <t>JÖNKÖPINGS LÄN</t>
        </is>
      </c>
      <c r="E23" t="inlineStr">
        <is>
          <t>MULLSJÖ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34510-2019</t>
        </is>
      </c>
      <c r="B24" s="1" t="n">
        <v>43657</v>
      </c>
      <c r="C24" s="1" t="n">
        <v>45581</v>
      </c>
      <c r="D24" t="inlineStr">
        <is>
          <t>JÖNKÖPINGS LÄN</t>
        </is>
      </c>
      <c r="E24" t="inlineStr">
        <is>
          <t>MULLSJÖ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36799-2019</t>
        </is>
      </c>
      <c r="B25" s="1" t="n">
        <v>43672</v>
      </c>
      <c r="C25" s="1" t="n">
        <v>45581</v>
      </c>
      <c r="D25" t="inlineStr">
        <is>
          <t>JÖNKÖPINGS LÄN</t>
        </is>
      </c>
      <c r="E25" t="inlineStr">
        <is>
          <t>MULLSJÖ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40804-2019</t>
        </is>
      </c>
      <c r="B26" s="1" t="n">
        <v>43697</v>
      </c>
      <c r="C26" s="1" t="n">
        <v>45581</v>
      </c>
      <c r="D26" t="inlineStr">
        <is>
          <t>JÖNKÖPINGS LÄN</t>
        </is>
      </c>
      <c r="E26" t="inlineStr">
        <is>
          <t>MULLSJÖ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41428-2019</t>
        </is>
      </c>
      <c r="B27" s="1" t="n">
        <v>43698</v>
      </c>
      <c r="C27" s="1" t="n">
        <v>45581</v>
      </c>
      <c r="D27" t="inlineStr">
        <is>
          <t>JÖNKÖPINGS LÄN</t>
        </is>
      </c>
      <c r="E27" t="inlineStr">
        <is>
          <t>MULLSJÖ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46316-2019</t>
        </is>
      </c>
      <c r="B28" s="1" t="n">
        <v>43718</v>
      </c>
      <c r="C28" s="1" t="n">
        <v>45581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47707-2019</t>
        </is>
      </c>
      <c r="B29" s="1" t="n">
        <v>43724</v>
      </c>
      <c r="C29" s="1" t="n">
        <v>45581</v>
      </c>
      <c r="D29" t="inlineStr">
        <is>
          <t>JÖNKÖPINGS LÄN</t>
        </is>
      </c>
      <c r="E29" t="inlineStr">
        <is>
          <t>MULLSJÖ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260-2020</t>
        </is>
      </c>
      <c r="B30" s="1" t="n">
        <v>43836</v>
      </c>
      <c r="C30" s="1" t="n">
        <v>45581</v>
      </c>
      <c r="D30" t="inlineStr">
        <is>
          <t>JÖNKÖPINGS LÄN</t>
        </is>
      </c>
      <c r="E30" t="inlineStr">
        <is>
          <t>MULLSJÖ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31697-2020</t>
        </is>
      </c>
      <c r="B31" s="1" t="n">
        <v>44014</v>
      </c>
      <c r="C31" s="1" t="n">
        <v>45581</v>
      </c>
      <c r="D31" t="inlineStr">
        <is>
          <t>JÖNKÖPINGS LÄN</t>
        </is>
      </c>
      <c r="E31" t="inlineStr">
        <is>
          <t>MULLSJÖ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44266-2020</t>
        </is>
      </c>
      <c r="B32" s="1" t="n">
        <v>44084</v>
      </c>
      <c r="C32" s="1" t="n">
        <v>45581</v>
      </c>
      <c r="D32" t="inlineStr">
        <is>
          <t>JÖNKÖPINGS LÄN</t>
        </is>
      </c>
      <c r="E32" t="inlineStr">
        <is>
          <t>MULLSJÖ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44279-2020</t>
        </is>
      </c>
      <c r="B33" s="1" t="n">
        <v>44084</v>
      </c>
      <c r="C33" s="1" t="n">
        <v>45581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44488-2020</t>
        </is>
      </c>
      <c r="B34" s="1" t="n">
        <v>44084</v>
      </c>
      <c r="C34" s="1" t="n">
        <v>45581</v>
      </c>
      <c r="D34" t="inlineStr">
        <is>
          <t>JÖNKÖPINGS LÄN</t>
        </is>
      </c>
      <c r="E34" t="inlineStr">
        <is>
          <t>MULLSJÖ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44888-2020</t>
        </is>
      </c>
      <c r="B35" s="1" t="n">
        <v>44088</v>
      </c>
      <c r="C35" s="1" t="n">
        <v>45581</v>
      </c>
      <c r="D35" t="inlineStr">
        <is>
          <t>JÖNKÖPINGS LÄN</t>
        </is>
      </c>
      <c r="E35" t="inlineStr">
        <is>
          <t>MULLSJÖ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46746-2020</t>
        </is>
      </c>
      <c r="B36" s="1" t="n">
        <v>44095</v>
      </c>
      <c r="C36" s="1" t="n">
        <v>45581</v>
      </c>
      <c r="D36" t="inlineStr">
        <is>
          <t>JÖNKÖPINGS LÄN</t>
        </is>
      </c>
      <c r="E36" t="inlineStr">
        <is>
          <t>MULLSJÖ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46747-2020</t>
        </is>
      </c>
      <c r="B37" s="1" t="n">
        <v>44095</v>
      </c>
      <c r="C37" s="1" t="n">
        <v>45581</v>
      </c>
      <c r="D37" t="inlineStr">
        <is>
          <t>JÖNKÖPINGS LÄN</t>
        </is>
      </c>
      <c r="E37" t="inlineStr">
        <is>
          <t>MULLSJÖ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57424-2020</t>
        </is>
      </c>
      <c r="B38" s="1" t="n">
        <v>44140</v>
      </c>
      <c r="C38" s="1" t="n">
        <v>45581</v>
      </c>
      <c r="D38" t="inlineStr">
        <is>
          <t>JÖNKÖPINGS LÄN</t>
        </is>
      </c>
      <c r="E38" t="inlineStr">
        <is>
          <t>MULLSJÖ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57429-2020</t>
        </is>
      </c>
      <c r="B39" s="1" t="n">
        <v>44140</v>
      </c>
      <c r="C39" s="1" t="n">
        <v>45581</v>
      </c>
      <c r="D39" t="inlineStr">
        <is>
          <t>JÖNKÖPINGS LÄN</t>
        </is>
      </c>
      <c r="E39" t="inlineStr">
        <is>
          <t>MULLSJÖ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64865-2020</t>
        </is>
      </c>
      <c r="B40" s="1" t="n">
        <v>44171</v>
      </c>
      <c r="C40" s="1" t="n">
        <v>45581</v>
      </c>
      <c r="D40" t="inlineStr">
        <is>
          <t>JÖNKÖPINGS LÄN</t>
        </is>
      </c>
      <c r="E40" t="inlineStr">
        <is>
          <t>MULLSJÖ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64867-2020</t>
        </is>
      </c>
      <c r="B41" s="1" t="n">
        <v>44171</v>
      </c>
      <c r="C41" s="1" t="n">
        <v>45581</v>
      </c>
      <c r="D41" t="inlineStr">
        <is>
          <t>JÖNKÖPINGS LÄN</t>
        </is>
      </c>
      <c r="E41" t="inlineStr">
        <is>
          <t>MULLSJÖ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68837-2020</t>
        </is>
      </c>
      <c r="B42" s="1" t="n">
        <v>44187</v>
      </c>
      <c r="C42" s="1" t="n">
        <v>45581</v>
      </c>
      <c r="D42" t="inlineStr">
        <is>
          <t>JÖNKÖPINGS LÄN</t>
        </is>
      </c>
      <c r="E42" t="inlineStr">
        <is>
          <t>MULLSJÖ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1371-2021</t>
        </is>
      </c>
      <c r="B43" s="1" t="n">
        <v>44208</v>
      </c>
      <c r="C43" s="1" t="n">
        <v>45581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6980-2021</t>
        </is>
      </c>
      <c r="B44" s="1" t="n">
        <v>44237</v>
      </c>
      <c r="C44" s="1" t="n">
        <v>45581</v>
      </c>
      <c r="D44" t="inlineStr">
        <is>
          <t>JÖNKÖPINGS LÄN</t>
        </is>
      </c>
      <c r="E44" t="inlineStr">
        <is>
          <t>MULLSJÖ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7176-2021</t>
        </is>
      </c>
      <c r="B45" s="1" t="n">
        <v>44238</v>
      </c>
      <c r="C45" s="1" t="n">
        <v>45581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7174-2021</t>
        </is>
      </c>
      <c r="B46" s="1" t="n">
        <v>44238</v>
      </c>
      <c r="C46" s="1" t="n">
        <v>45581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11075-2021</t>
        </is>
      </c>
      <c r="B47" s="1" t="n">
        <v>44260</v>
      </c>
      <c r="C47" s="1" t="n">
        <v>45581</v>
      </c>
      <c r="D47" t="inlineStr">
        <is>
          <t>JÖNKÖPINGS LÄN</t>
        </is>
      </c>
      <c r="E47" t="inlineStr">
        <is>
          <t>MULLSJÖ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13099-2021</t>
        </is>
      </c>
      <c r="B48" s="1" t="n">
        <v>44272</v>
      </c>
      <c r="C48" s="1" t="n">
        <v>45581</v>
      </c>
      <c r="D48" t="inlineStr">
        <is>
          <t>JÖNKÖPINGS LÄN</t>
        </is>
      </c>
      <c r="E48" t="inlineStr">
        <is>
          <t>MULLSJÖ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13101-2021</t>
        </is>
      </c>
      <c r="B49" s="1" t="n">
        <v>44272</v>
      </c>
      <c r="C49" s="1" t="n">
        <v>45581</v>
      </c>
      <c r="D49" t="inlineStr">
        <is>
          <t>JÖNKÖPINGS LÄN</t>
        </is>
      </c>
      <c r="E49" t="inlineStr">
        <is>
          <t>MULLSJÖ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13095-2021</t>
        </is>
      </c>
      <c r="B50" s="1" t="n">
        <v>44272</v>
      </c>
      <c r="C50" s="1" t="n">
        <v>45581</v>
      </c>
      <c r="D50" t="inlineStr">
        <is>
          <t>JÖNKÖPINGS LÄN</t>
        </is>
      </c>
      <c r="E50" t="inlineStr">
        <is>
          <t>MULLSJÖ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15468-2021</t>
        </is>
      </c>
      <c r="B51" s="1" t="n">
        <v>44285</v>
      </c>
      <c r="C51" s="1" t="n">
        <v>45581</v>
      </c>
      <c r="D51" t="inlineStr">
        <is>
          <t>JÖNKÖPINGS LÄN</t>
        </is>
      </c>
      <c r="E51" t="inlineStr">
        <is>
          <t>MULLSJÖ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22110-2021</t>
        </is>
      </c>
      <c r="B52" s="1" t="n">
        <v>44323</v>
      </c>
      <c r="C52" s="1" t="n">
        <v>45581</v>
      </c>
      <c r="D52" t="inlineStr">
        <is>
          <t>JÖNKÖPINGS LÄN</t>
        </is>
      </c>
      <c r="E52" t="inlineStr">
        <is>
          <t>MULLSJÖ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24816-2021</t>
        </is>
      </c>
      <c r="B53" s="1" t="n">
        <v>44340</v>
      </c>
      <c r="C53" s="1" t="n">
        <v>45581</v>
      </c>
      <c r="D53" t="inlineStr">
        <is>
          <t>JÖNKÖPINGS LÄN</t>
        </is>
      </c>
      <c r="E53" t="inlineStr">
        <is>
          <t>MULLSJÖ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24817-2021</t>
        </is>
      </c>
      <c r="B54" s="1" t="n">
        <v>44340</v>
      </c>
      <c r="C54" s="1" t="n">
        <v>45581</v>
      </c>
      <c r="D54" t="inlineStr">
        <is>
          <t>JÖNKÖPINGS LÄN</t>
        </is>
      </c>
      <c r="E54" t="inlineStr">
        <is>
          <t>MULLSJÖ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32880-2021</t>
        </is>
      </c>
      <c r="B55" s="1" t="n">
        <v>44375</v>
      </c>
      <c r="C55" s="1" t="n">
        <v>45581</v>
      </c>
      <c r="D55" t="inlineStr">
        <is>
          <t>JÖNKÖPINGS LÄN</t>
        </is>
      </c>
      <c r="E55" t="inlineStr">
        <is>
          <t>MULLSJÖ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36580-2021</t>
        </is>
      </c>
      <c r="B56" s="1" t="n">
        <v>44391</v>
      </c>
      <c r="C56" s="1" t="n">
        <v>45581</v>
      </c>
      <c r="D56" t="inlineStr">
        <is>
          <t>JÖNKÖPINGS LÄN</t>
        </is>
      </c>
      <c r="E56" t="inlineStr">
        <is>
          <t>MULLSJÖ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38996-2021</t>
        </is>
      </c>
      <c r="B57" s="1" t="n">
        <v>44412</v>
      </c>
      <c r="C57" s="1" t="n">
        <v>45581</v>
      </c>
      <c r="D57" t="inlineStr">
        <is>
          <t>JÖNKÖPINGS LÄN</t>
        </is>
      </c>
      <c r="E57" t="inlineStr">
        <is>
          <t>MULLSJÖ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40267-2021</t>
        </is>
      </c>
      <c r="B58" s="1" t="n">
        <v>44419</v>
      </c>
      <c r="C58" s="1" t="n">
        <v>45581</v>
      </c>
      <c r="D58" t="inlineStr">
        <is>
          <t>JÖNKÖPINGS LÄN</t>
        </is>
      </c>
      <c r="E58" t="inlineStr">
        <is>
          <t>MULLSJÖ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40869-2021</t>
        </is>
      </c>
      <c r="B59" s="1" t="n">
        <v>44421</v>
      </c>
      <c r="C59" s="1" t="n">
        <v>45581</v>
      </c>
      <c r="D59" t="inlineStr">
        <is>
          <t>JÖNKÖPINGS LÄN</t>
        </is>
      </c>
      <c r="E59" t="inlineStr">
        <is>
          <t>MULLSJÖ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42852-2021</t>
        </is>
      </c>
      <c r="B60" s="1" t="n">
        <v>44430</v>
      </c>
      <c r="C60" s="1" t="n">
        <v>45581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43594-2021</t>
        </is>
      </c>
      <c r="B61" s="1" t="n">
        <v>44433</v>
      </c>
      <c r="C61" s="1" t="n">
        <v>45581</v>
      </c>
      <c r="D61" t="inlineStr">
        <is>
          <t>JÖNKÖPINGS LÄN</t>
        </is>
      </c>
      <c r="E61" t="inlineStr">
        <is>
          <t>MULLSJÖ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50161-2021</t>
        </is>
      </c>
      <c r="B62" s="1" t="n">
        <v>44456</v>
      </c>
      <c r="C62" s="1" t="n">
        <v>45581</v>
      </c>
      <c r="D62" t="inlineStr">
        <is>
          <t>JÖNKÖPINGS LÄN</t>
        </is>
      </c>
      <c r="E62" t="inlineStr">
        <is>
          <t>MULLSJÖ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53664-2021</t>
        </is>
      </c>
      <c r="B63" s="1" t="n">
        <v>44469</v>
      </c>
      <c r="C63" s="1" t="n">
        <v>45581</v>
      </c>
      <c r="D63" t="inlineStr">
        <is>
          <t>JÖNKÖPINGS LÄN</t>
        </is>
      </c>
      <c r="E63" t="inlineStr">
        <is>
          <t>MULLSJÖ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55888-2021</t>
        </is>
      </c>
      <c r="B64" s="1" t="n">
        <v>44476</v>
      </c>
      <c r="C64" s="1" t="n">
        <v>45581</v>
      </c>
      <c r="D64" t="inlineStr">
        <is>
          <t>JÖNKÖPINGS LÄN</t>
        </is>
      </c>
      <c r="E64" t="inlineStr">
        <is>
          <t>MULLSJÖ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55897-2021</t>
        </is>
      </c>
      <c r="B65" s="1" t="n">
        <v>44476</v>
      </c>
      <c r="C65" s="1" t="n">
        <v>45581</v>
      </c>
      <c r="D65" t="inlineStr">
        <is>
          <t>JÖNKÖPINGS LÄN</t>
        </is>
      </c>
      <c r="E65" t="inlineStr">
        <is>
          <t>MULLSJÖ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55896-2021</t>
        </is>
      </c>
      <c r="B66" s="1" t="n">
        <v>44476</v>
      </c>
      <c r="C66" s="1" t="n">
        <v>45581</v>
      </c>
      <c r="D66" t="inlineStr">
        <is>
          <t>JÖNKÖPINGS LÄN</t>
        </is>
      </c>
      <c r="E66" t="inlineStr">
        <is>
          <t>MULLSJÖ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57229-2021</t>
        </is>
      </c>
      <c r="B67" s="1" t="n">
        <v>44483</v>
      </c>
      <c r="C67" s="1" t="n">
        <v>45581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62452-2021</t>
        </is>
      </c>
      <c r="B68" s="1" t="n">
        <v>44503</v>
      </c>
      <c r="C68" s="1" t="n">
        <v>45581</v>
      </c>
      <c r="D68" t="inlineStr">
        <is>
          <t>JÖNKÖPINGS LÄN</t>
        </is>
      </c>
      <c r="E68" t="inlineStr">
        <is>
          <t>MULLSJÖ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65495-2021</t>
        </is>
      </c>
      <c r="B69" s="1" t="n">
        <v>44516</v>
      </c>
      <c r="C69" s="1" t="n">
        <v>45581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65493-2021</t>
        </is>
      </c>
      <c r="B70" s="1" t="n">
        <v>44516</v>
      </c>
      <c r="C70" s="1" t="n">
        <v>45581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71048-2021</t>
        </is>
      </c>
      <c r="B71" s="1" t="n">
        <v>44538</v>
      </c>
      <c r="C71" s="1" t="n">
        <v>45581</v>
      </c>
      <c r="D71" t="inlineStr">
        <is>
          <t>JÖNKÖPINGS LÄN</t>
        </is>
      </c>
      <c r="E71" t="inlineStr">
        <is>
          <t>MULLSJÖ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4957-2022</t>
        </is>
      </c>
      <c r="B72" s="1" t="n">
        <v>44593</v>
      </c>
      <c r="C72" s="1" t="n">
        <v>45581</v>
      </c>
      <c r="D72" t="inlineStr">
        <is>
          <t>JÖNKÖPINGS LÄN</t>
        </is>
      </c>
      <c r="E72" t="inlineStr">
        <is>
          <t>MULLSJÖ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7654-2022</t>
        </is>
      </c>
      <c r="B73" s="1" t="n">
        <v>44607</v>
      </c>
      <c r="C73" s="1" t="n">
        <v>45581</v>
      </c>
      <c r="D73" t="inlineStr">
        <is>
          <t>JÖNKÖPINGS LÄN</t>
        </is>
      </c>
      <c r="E73" t="inlineStr">
        <is>
          <t>MULLSJÖ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9903-2022</t>
        </is>
      </c>
      <c r="B74" s="1" t="n">
        <v>44620</v>
      </c>
      <c r="C74" s="1" t="n">
        <v>45581</v>
      </c>
      <c r="D74" t="inlineStr">
        <is>
          <t>JÖNKÖPINGS LÄN</t>
        </is>
      </c>
      <c r="E74" t="inlineStr">
        <is>
          <t>MULLSJÖ</t>
        </is>
      </c>
      <c r="G74" t="n">
        <v>16.8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13811-2022</t>
        </is>
      </c>
      <c r="B75" s="1" t="n">
        <v>44649</v>
      </c>
      <c r="C75" s="1" t="n">
        <v>45581</v>
      </c>
      <c r="D75" t="inlineStr">
        <is>
          <t>JÖNKÖPINGS LÄN</t>
        </is>
      </c>
      <c r="E75" t="inlineStr">
        <is>
          <t>MULLSJÖ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14742-2022</t>
        </is>
      </c>
      <c r="B76" s="1" t="n">
        <v>44656</v>
      </c>
      <c r="C76" s="1" t="n">
        <v>45581</v>
      </c>
      <c r="D76" t="inlineStr">
        <is>
          <t>JÖNKÖPINGS LÄN</t>
        </is>
      </c>
      <c r="E76" t="inlineStr">
        <is>
          <t>MULLSJÖ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14740-2022</t>
        </is>
      </c>
      <c r="B77" s="1" t="n">
        <v>44656</v>
      </c>
      <c r="C77" s="1" t="n">
        <v>45581</v>
      </c>
      <c r="D77" t="inlineStr">
        <is>
          <t>JÖNKÖPINGS LÄN</t>
        </is>
      </c>
      <c r="E77" t="inlineStr">
        <is>
          <t>MULLSJÖ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14745-2022</t>
        </is>
      </c>
      <c r="B78" s="1" t="n">
        <v>44656</v>
      </c>
      <c r="C78" s="1" t="n">
        <v>45581</v>
      </c>
      <c r="D78" t="inlineStr">
        <is>
          <t>JÖNKÖPINGS LÄN</t>
        </is>
      </c>
      <c r="E78" t="inlineStr">
        <is>
          <t>MULLSJÖ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14743-2022</t>
        </is>
      </c>
      <c r="B79" s="1" t="n">
        <v>44656</v>
      </c>
      <c r="C79" s="1" t="n">
        <v>45581</v>
      </c>
      <c r="D79" t="inlineStr">
        <is>
          <t>JÖNKÖPINGS LÄN</t>
        </is>
      </c>
      <c r="E79" t="inlineStr">
        <is>
          <t>MULLSJÖ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14748-2022</t>
        </is>
      </c>
      <c r="B80" s="1" t="n">
        <v>44656</v>
      </c>
      <c r="C80" s="1" t="n">
        <v>45581</v>
      </c>
      <c r="D80" t="inlineStr">
        <is>
          <t>JÖNKÖPINGS LÄN</t>
        </is>
      </c>
      <c r="E80" t="inlineStr">
        <is>
          <t>MULLSJÖ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16133-2022</t>
        </is>
      </c>
      <c r="B81" s="1" t="n">
        <v>44665</v>
      </c>
      <c r="C81" s="1" t="n">
        <v>45581</v>
      </c>
      <c r="D81" t="inlineStr">
        <is>
          <t>JÖNKÖPINGS LÄN</t>
        </is>
      </c>
      <c r="E81" t="inlineStr">
        <is>
          <t>MULLSJÖ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16350-2022</t>
        </is>
      </c>
      <c r="B82" s="1" t="n">
        <v>44670</v>
      </c>
      <c r="C82" s="1" t="n">
        <v>45581</v>
      </c>
      <c r="D82" t="inlineStr">
        <is>
          <t>JÖNKÖPINGS LÄN</t>
        </is>
      </c>
      <c r="E82" t="inlineStr">
        <is>
          <t>MULLSJÖ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16349-2022</t>
        </is>
      </c>
      <c r="B83" s="1" t="n">
        <v>44670</v>
      </c>
      <c r="C83" s="1" t="n">
        <v>45581</v>
      </c>
      <c r="D83" t="inlineStr">
        <is>
          <t>JÖNKÖPINGS LÄN</t>
        </is>
      </c>
      <c r="E83" t="inlineStr">
        <is>
          <t>MULLSJÖ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17822-2022</t>
        </is>
      </c>
      <c r="B84" s="1" t="n">
        <v>44683</v>
      </c>
      <c r="C84" s="1" t="n">
        <v>45581</v>
      </c>
      <c r="D84" t="inlineStr">
        <is>
          <t>JÖNKÖPINGS LÄN</t>
        </is>
      </c>
      <c r="E84" t="inlineStr">
        <is>
          <t>MULLSJÖ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17880-2022</t>
        </is>
      </c>
      <c r="B85" s="1" t="n">
        <v>44683</v>
      </c>
      <c r="C85" s="1" t="n">
        <v>45581</v>
      </c>
      <c r="D85" t="inlineStr">
        <is>
          <t>JÖNKÖPINGS LÄN</t>
        </is>
      </c>
      <c r="E85" t="inlineStr">
        <is>
          <t>MULLSJÖ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20671-2022</t>
        </is>
      </c>
      <c r="B86" s="1" t="n">
        <v>44700</v>
      </c>
      <c r="C86" s="1" t="n">
        <v>45581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21687-2022</t>
        </is>
      </c>
      <c r="B87" s="1" t="n">
        <v>44707</v>
      </c>
      <c r="C87" s="1" t="n">
        <v>45581</v>
      </c>
      <c r="D87" t="inlineStr">
        <is>
          <t>JÖNKÖPINGS LÄN</t>
        </is>
      </c>
      <c r="E87" t="inlineStr">
        <is>
          <t>MULLSJÖ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21691-2022</t>
        </is>
      </c>
      <c r="B88" s="1" t="n">
        <v>44707</v>
      </c>
      <c r="C88" s="1" t="n">
        <v>45581</v>
      </c>
      <c r="D88" t="inlineStr">
        <is>
          <t>JÖNKÖPINGS LÄN</t>
        </is>
      </c>
      <c r="E88" t="inlineStr">
        <is>
          <t>MULLSJÖ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21693-2022</t>
        </is>
      </c>
      <c r="B89" s="1" t="n">
        <v>44707</v>
      </c>
      <c r="C89" s="1" t="n">
        <v>45581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27549-2022</t>
        </is>
      </c>
      <c r="B90" s="1" t="n">
        <v>44742</v>
      </c>
      <c r="C90" s="1" t="n">
        <v>45581</v>
      </c>
      <c r="D90" t="inlineStr">
        <is>
          <t>JÖNKÖPINGS LÄN</t>
        </is>
      </c>
      <c r="E90" t="inlineStr">
        <is>
          <t>MULLSJÖ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27760-2022</t>
        </is>
      </c>
      <c r="B91" s="1" t="n">
        <v>44743</v>
      </c>
      <c r="C91" s="1" t="n">
        <v>45581</v>
      </c>
      <c r="D91" t="inlineStr">
        <is>
          <t>JÖNKÖPINGS LÄN</t>
        </is>
      </c>
      <c r="E91" t="inlineStr">
        <is>
          <t>MULLSJÖ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34914-2022</t>
        </is>
      </c>
      <c r="B92" s="1" t="n">
        <v>44796</v>
      </c>
      <c r="C92" s="1" t="n">
        <v>45581</v>
      </c>
      <c r="D92" t="inlineStr">
        <is>
          <t>JÖNKÖPINGS LÄN</t>
        </is>
      </c>
      <c r="E92" t="inlineStr">
        <is>
          <t>MULLSJÖ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39354-2022</t>
        </is>
      </c>
      <c r="B93" s="1" t="n">
        <v>44817</v>
      </c>
      <c r="C93" s="1" t="n">
        <v>45581</v>
      </c>
      <c r="D93" t="inlineStr">
        <is>
          <t>JÖNKÖPINGS LÄN</t>
        </is>
      </c>
      <c r="E93" t="inlineStr">
        <is>
          <t>MULLSJÖ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39353-2022</t>
        </is>
      </c>
      <c r="B94" s="1" t="n">
        <v>44817</v>
      </c>
      <c r="C94" s="1" t="n">
        <v>45581</v>
      </c>
      <c r="D94" t="inlineStr">
        <is>
          <t>JÖNKÖPINGS LÄN</t>
        </is>
      </c>
      <c r="E94" t="inlineStr">
        <is>
          <t>MULLSJÖ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42872-2022</t>
        </is>
      </c>
      <c r="B95" s="1" t="n">
        <v>44832</v>
      </c>
      <c r="C95" s="1" t="n">
        <v>45581</v>
      </c>
      <c r="D95" t="inlineStr">
        <is>
          <t>JÖNKÖPINGS LÄN</t>
        </is>
      </c>
      <c r="E95" t="inlineStr">
        <is>
          <t>MULLSJÖ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46006-2022</t>
        </is>
      </c>
      <c r="B96" s="1" t="n">
        <v>44846</v>
      </c>
      <c r="C96" s="1" t="n">
        <v>45581</v>
      </c>
      <c r="D96" t="inlineStr">
        <is>
          <t>JÖNKÖPINGS LÄN</t>
        </is>
      </c>
      <c r="E96" t="inlineStr">
        <is>
          <t>MULLSJÖ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46366-2022</t>
        </is>
      </c>
      <c r="B97" s="1" t="n">
        <v>44848</v>
      </c>
      <c r="C97" s="1" t="n">
        <v>45581</v>
      </c>
      <c r="D97" t="inlineStr">
        <is>
          <t>JÖNKÖPINGS LÄN</t>
        </is>
      </c>
      <c r="E97" t="inlineStr">
        <is>
          <t>MULLSJÖ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47687-2022</t>
        </is>
      </c>
      <c r="B98" s="1" t="n">
        <v>44854</v>
      </c>
      <c r="C98" s="1" t="n">
        <v>45581</v>
      </c>
      <c r="D98" t="inlineStr">
        <is>
          <t>JÖNKÖPINGS LÄN</t>
        </is>
      </c>
      <c r="E98" t="inlineStr">
        <is>
          <t>MULLSJÖ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47692-2022</t>
        </is>
      </c>
      <c r="B99" s="1" t="n">
        <v>44854</v>
      </c>
      <c r="C99" s="1" t="n">
        <v>45581</v>
      </c>
      <c r="D99" t="inlineStr">
        <is>
          <t>JÖNKÖPINGS LÄN</t>
        </is>
      </c>
      <c r="E99" t="inlineStr">
        <is>
          <t>MULLSJÖ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47645-2022</t>
        </is>
      </c>
      <c r="B100" s="1" t="n">
        <v>44854</v>
      </c>
      <c r="C100" s="1" t="n">
        <v>45581</v>
      </c>
      <c r="D100" t="inlineStr">
        <is>
          <t>JÖNKÖPINGS LÄN</t>
        </is>
      </c>
      <c r="E100" t="inlineStr">
        <is>
          <t>MULLSJÖ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52385-2022</t>
        </is>
      </c>
      <c r="B101" s="1" t="n">
        <v>44869</v>
      </c>
      <c r="C101" s="1" t="n">
        <v>45581</v>
      </c>
      <c r="D101" t="inlineStr">
        <is>
          <t>JÖNKÖPINGS LÄN</t>
        </is>
      </c>
      <c r="E101" t="inlineStr">
        <is>
          <t>MULLSJÖ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52058-2022</t>
        </is>
      </c>
      <c r="B102" s="1" t="n">
        <v>44873</v>
      </c>
      <c r="C102" s="1" t="n">
        <v>45581</v>
      </c>
      <c r="D102" t="inlineStr">
        <is>
          <t>JÖNKÖPINGS LÄN</t>
        </is>
      </c>
      <c r="E102" t="inlineStr">
        <is>
          <t>MULLSJÖ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52062-2022</t>
        </is>
      </c>
      <c r="B103" s="1" t="n">
        <v>44873</v>
      </c>
      <c r="C103" s="1" t="n">
        <v>45581</v>
      </c>
      <c r="D103" t="inlineStr">
        <is>
          <t>JÖNKÖPINGS LÄN</t>
        </is>
      </c>
      <c r="E103" t="inlineStr">
        <is>
          <t>MULLSJÖ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56145-2022</t>
        </is>
      </c>
      <c r="B104" s="1" t="n">
        <v>44889</v>
      </c>
      <c r="C104" s="1" t="n">
        <v>45581</v>
      </c>
      <c r="D104" t="inlineStr">
        <is>
          <t>JÖNKÖPINGS LÄN</t>
        </is>
      </c>
      <c r="E104" t="inlineStr">
        <is>
          <t>MULLSJÖ</t>
        </is>
      </c>
      <c r="G104" t="n">
        <v>14.1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56244-2022</t>
        </is>
      </c>
      <c r="B105" s="1" t="n">
        <v>44890</v>
      </c>
      <c r="C105" s="1" t="n">
        <v>45581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45581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45581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45581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45581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45581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45581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45581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45581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45581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45581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45581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45581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45581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45581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45581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45581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45581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45581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45581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45581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45581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45581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45581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45581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45581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45581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45581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45581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45581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45581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45581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45581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45581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45581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45581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45581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45581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45581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45581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45581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45581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45581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45581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45581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45581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45581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45581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45581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45581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45581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45581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45581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45581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45581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45581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45581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45581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45581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45581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45581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45581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45581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45581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45581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45581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45581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45581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45581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45581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45581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45581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45581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45581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45581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45581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45581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45581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45581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45581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45581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45581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45581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45581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45581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45581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45581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45581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45581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45581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45581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45581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45581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45581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45581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45581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45581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45581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45581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45581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45581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45581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45581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45581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45581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45581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45581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45581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45581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45581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45581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45581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45581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45581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45581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45581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45581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45581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45581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45581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45581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45581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45581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45581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45581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45581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45581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45581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45581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39988-2024</t>
        </is>
      </c>
      <c r="B234" s="1" t="n">
        <v>45553</v>
      </c>
      <c r="C234" s="1" t="n">
        <v>45581</v>
      </c>
      <c r="D234" t="inlineStr">
        <is>
          <t>JÖNKÖPINGS LÄN</t>
        </is>
      </c>
      <c r="E234" t="inlineStr">
        <is>
          <t>MULLSJÖ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45581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45505-2024</t>
        </is>
      </c>
      <c r="B236" s="1" t="n">
        <v>45578</v>
      </c>
      <c r="C236" s="1" t="n">
        <v>45581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2024-10-16T13:10:53Z</dcterms:created>
  <dcterms:modified xmlns:dcterms="http://purl.org/dc/terms/" xmlns:xsi="http://www.w3.org/2001/XMLSchema-instance" xsi:type="dcterms:W3CDTF">2024-10-16T13:10:53Z</dcterms:modified>
</cp:coreProperties>
</file>