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46233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46233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46233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46233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46233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46233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46233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46233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46233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46233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46233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46233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14230-2024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45393</v>
      </c>
      <c r="E23" s="1" t="n">
        <v>46233</v>
      </c>
      <c r="F23" t="inlineStr">
        <is>
          <t>JÖNKÖPINGS LÄN</t>
        </is>
      </c>
      <c r="G23" t="inlineStr">
        <is>
          <t>MULLSJÖ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Guldlockmossa</t>
        </is>
      </c>
      <c r="W23">
        <f>HYPERLINK("https://klasma.github.io/Logging_0642/artfynd/A 14230-2024 artfynd.xlsx", "A 14230-2024")</f>
        <v/>
      </c>
      <c r="X23">
        <f>HYPERLINK("https://klasma.github.io/Logging_0642/kartor/A 14230-2024 karta.png", "A 14230-2024")</f>
        <v/>
      </c>
      <c r="Y23">
        <f>HYPERLINK("https://klasma.github.io/Logging_0642/kartor_geotiff/A 14230-2024 georefererad karta.tif", "A 14230-2024")</f>
        <v/>
      </c>
      <c r="AA23">
        <f>HYPERLINK("https://klasma.github.io/Logging_0642/klagomål/A 14230-2024 FSC-klagomål.docx", "A 14230-2024")</f>
        <v/>
      </c>
      <c r="AB23">
        <f>HYPERLINK("https://klasma.github.io/Logging_0642/klagomålsmail/A 14230-2024 FSC-klagomål mail.docx", "A 14230-2024")</f>
        <v/>
      </c>
      <c r="AC23">
        <f>HYPERLINK("https://klasma.github.io/Logging_0642/tillsyn/A 14230-2024 tillsynsbegäran.docx", "A 14230-2024")</f>
        <v/>
      </c>
      <c r="AD23">
        <f>HYPERLINK("https://klasma.github.io/Logging_0642/tillsynsmail/A 14230-2024 tillsynsbegäran mail.docx", "A 14230-2024")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46233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56310-2025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45974</v>
      </c>
      <c r="E25" s="1" t="n">
        <v>46233</v>
      </c>
      <c r="F25" t="inlineStr">
        <is>
          <t>JÖNKÖPINGS LÄN</t>
        </is>
      </c>
      <c r="G25" t="inlineStr">
        <is>
          <t>MULLSJÖ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56310-2025 artfynd.xlsx", "A 56310-2025")</f>
        <v/>
      </c>
      <c r="X25">
        <f>HYPERLINK("https://klasma.github.io/Logging_0642/kartor/A 56310-2025 karta.png", "A 56310-2025")</f>
        <v/>
      </c>
      <c r="Y25">
        <f>HYPERLINK("https://klasma.github.io/Logging_0642/kartor_geotiff/A 56310-2025 georefererad karta.tif", "A 56310-2025")</f>
        <v/>
      </c>
      <c r="AA25">
        <f>HYPERLINK("https://klasma.github.io/Logging_0642/klagomål/A 56310-2025 FSC-klagomål.docx", "A 56310-2025")</f>
        <v/>
      </c>
      <c r="AB25">
        <f>HYPERLINK("https://klasma.github.io/Logging_0642/klagomålsmail/A 56310-2025 FSC-klagomål mail.docx", "A 56310-2025")</f>
        <v/>
      </c>
      <c r="AC25">
        <f>HYPERLINK("https://klasma.github.io/Logging_0642/tillsyn/A 56310-2025 tillsynsbegäran.docx", "A 56310-2025")</f>
        <v/>
      </c>
      <c r="AD25">
        <f>HYPERLINK("https://klasma.github.io/Logging_0642/tillsynsmail/A 56310-2025 tillsynsbegäran mail.docx", "A 56310-2025")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46233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46233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46233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Slåtterfibbla</t>
        </is>
      </c>
      <c r="W28">
        <f>HYPERLINK("https://klasma.github.io/Logging_0642/artfynd/A 7821-2024 artfynd.xlsx", "A 7821-2024")</f>
        <v/>
      </c>
      <c r="X28">
        <f>HYPERLINK("https://klasma.github.io/Logging_0642/kartor/A 7821-2024 karta.png", "A 7821-2024")</f>
        <v/>
      </c>
      <c r="Y28">
        <f>HYPERLINK("https://klasma.github.io/Logging_0642/kartor_geotiff/A 7821-2024 georefererad karta.tif", "A 7821-2024")</f>
        <v/>
      </c>
      <c r="AA28">
        <f>HYPERLINK("https://klasma.github.io/Logging_0642/klagomål/A 7821-2024 FSC-klagomål.docx", "A 7821-2024")</f>
        <v/>
      </c>
      <c r="AB28">
        <f>HYPERLINK("https://klasma.github.io/Logging_0642/klagomålsmail/A 7821-2024 FSC-klagomål mail.docx", "A 7821-2024")</f>
        <v/>
      </c>
      <c r="AC28">
        <f>HYPERLINK("https://klasma.github.io/Logging_0642/tillsyn/A 7821-2024 tillsynsbegäran.docx", "A 7821-2024")</f>
        <v/>
      </c>
      <c r="AD28">
        <f>HYPERLINK("https://klasma.github.io/Logging_0642/tillsynsmail/A 7821-2024 tillsynsbegäran mail.docx", "A 7821-2024")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46233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46233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46233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46233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46233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46233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46233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46233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46233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46233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46233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46233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46233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46233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46233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46233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46233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46233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46233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46233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46233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46233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46233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46233</v>
      </c>
      <c r="F52" t="inlineStr">
        <is>
          <t>JÖNKÖPINGS LÄN</t>
        </is>
      </c>
      <c r="G52" t="inlineStr">
        <is>
          <t>MULLSJÖ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46233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45529</v>
      </c>
      <c r="E54" s="1" t="n">
        <v>46233</v>
      </c>
      <c r="F54" t="inlineStr">
        <is>
          <t>JÖNKÖPINGS LÄN</t>
        </is>
      </c>
      <c r="G54" t="inlineStr">
        <is>
          <t>MULLSJÖ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46233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46233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46233</v>
      </c>
      <c r="F57" t="inlineStr">
        <is>
          <t>JÖNKÖPINGS LÄN</t>
        </is>
      </c>
      <c r="G57" t="inlineStr">
        <is>
          <t>MULLSJÖ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46233</v>
      </c>
      <c r="F58" t="inlineStr">
        <is>
          <t>JÖNKÖPINGS LÄN</t>
        </is>
      </c>
      <c r="G58" t="inlineStr">
        <is>
          <t>MULLSJÖ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46233</v>
      </c>
      <c r="F59" t="inlineStr">
        <is>
          <t>JÖNKÖPINGS LÄN</t>
        </is>
      </c>
      <c r="G59" t="inlineStr">
        <is>
          <t>MULLSJÖ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46233</v>
      </c>
      <c r="F60" t="inlineStr">
        <is>
          <t>JÖNKÖPINGS LÄN</t>
        </is>
      </c>
      <c r="G60" t="inlineStr">
        <is>
          <t>MULLSJÖ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45521</v>
      </c>
      <c r="E61" s="1" t="n">
        <v>46233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46233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46233</v>
      </c>
      <c r="F63" t="inlineStr">
        <is>
          <t>JÖNKÖPINGS LÄN</t>
        </is>
      </c>
      <c r="G63" t="inlineStr">
        <is>
          <t>MULLSJÖ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57500-2022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46233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46233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46233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46233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45904</v>
      </c>
      <c r="E68" s="1" t="n">
        <v>46233</v>
      </c>
      <c r="F68" t="inlineStr">
        <is>
          <t>JÖNKÖPINGS LÄN</t>
        </is>
      </c>
      <c r="G68" t="inlineStr">
        <is>
          <t>MULLSJÖ</t>
        </is>
      </c>
      <c r="H68" t="inlineStr">
        <is>
          <t>Kyrkan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46233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46233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43134-2025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46233</v>
      </c>
      <c r="F71" t="inlineStr">
        <is>
          <t>JÖNKÖPINGS LÄN</t>
        </is>
      </c>
      <c r="G71" t="inlineStr">
        <is>
          <t>MULLSJÖ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44656</v>
      </c>
      <c r="E72" s="1" t="n">
        <v>46233</v>
      </c>
      <c r="F72" t="inlineStr">
        <is>
          <t>JÖNKÖPINGS LÄN</t>
        </is>
      </c>
      <c r="G72" t="inlineStr">
        <is>
          <t>MULLSJÖ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46233</v>
      </c>
      <c r="F73" t="inlineStr">
        <is>
          <t>JÖNKÖPINGS LÄN</t>
        </is>
      </c>
      <c r="G73" t="inlineStr">
        <is>
          <t>MULLSJÖ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46233</v>
      </c>
      <c r="F74" t="inlineStr">
        <is>
          <t>JÖNKÖPINGS LÄN</t>
        </is>
      </c>
      <c r="G74" t="inlineStr">
        <is>
          <t>MULLSJÖ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46233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46233</v>
      </c>
      <c r="F76" t="inlineStr">
        <is>
          <t>JÖNKÖPINGS LÄN</t>
        </is>
      </c>
      <c r="G76" t="inlineStr">
        <is>
          <t>MULLSJÖ</t>
        </is>
      </c>
      <c r="I76" t="n">
        <v>15.1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46233</v>
      </c>
      <c r="F77" t="inlineStr">
        <is>
          <t>JÖNKÖPINGS LÄN</t>
        </is>
      </c>
      <c r="G77" t="inlineStr">
        <is>
          <t>MULLSJÖ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46233</v>
      </c>
      <c r="F78" t="inlineStr">
        <is>
          <t>JÖNKÖPINGS LÄN</t>
        </is>
      </c>
      <c r="G78" t="inlineStr">
        <is>
          <t>MULLSJÖ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46233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44998</v>
      </c>
      <c r="E80" s="1" t="n">
        <v>46233</v>
      </c>
      <c r="F80" t="inlineStr">
        <is>
          <t>JÖNKÖPINGS LÄN</t>
        </is>
      </c>
      <c r="G80" t="inlineStr">
        <is>
          <t>MULLSJÖ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46233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46233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46233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46233</v>
      </c>
      <c r="F84" t="inlineStr">
        <is>
          <t>JÖNKÖPINGS LÄN</t>
        </is>
      </c>
      <c r="G84" t="inlineStr">
        <is>
          <t>MULLSJÖ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46233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46233</v>
      </c>
      <c r="F86" t="inlineStr">
        <is>
          <t>JÖNKÖPINGS LÄN</t>
        </is>
      </c>
      <c r="G86" t="inlineStr">
        <is>
          <t>MULLSJÖ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46233</v>
      </c>
      <c r="F87" t="inlineStr">
        <is>
          <t>JÖNKÖPINGS LÄN</t>
        </is>
      </c>
      <c r="G87" t="inlineStr">
        <is>
          <t>MULLSJÖ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46233</v>
      </c>
      <c r="F88" t="inlineStr">
        <is>
          <t>JÖNKÖPINGS LÄN</t>
        </is>
      </c>
      <c r="G88" t="inlineStr">
        <is>
          <t>MULLSJÖ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46233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46233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46233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46080</v>
      </c>
      <c r="E92" s="1" t="n">
        <v>46233</v>
      </c>
      <c r="F92" t="inlineStr">
        <is>
          <t>JÖNKÖPINGS LÄN</t>
        </is>
      </c>
      <c r="G92" t="inlineStr">
        <is>
          <t>MULLSJÖ</t>
        </is>
      </c>
      <c r="H92" t="inlineStr">
        <is>
          <t>Kyrkan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46233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12351-2026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46088</v>
      </c>
      <c r="E94" s="1" t="n">
        <v>46233</v>
      </c>
      <c r="F94" t="inlineStr">
        <is>
          <t>JÖNKÖPINGS LÄN</t>
        </is>
      </c>
      <c r="G94" t="inlineStr">
        <is>
          <t>MULLSJÖ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45752</v>
      </c>
      <c r="E95" s="1" t="n">
        <v>46233</v>
      </c>
      <c r="F95" t="inlineStr">
        <is>
          <t>JÖNKÖPINGS LÄN</t>
        </is>
      </c>
      <c r="G95" t="inlineStr">
        <is>
          <t>MULLSJÖ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46233</v>
      </c>
      <c r="F96" t="inlineStr">
        <is>
          <t>JÖNKÖPINGS LÄN</t>
        </is>
      </c>
      <c r="G96" t="inlineStr">
        <is>
          <t>MULLSJÖ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46233</v>
      </c>
      <c r="F97" t="inlineStr">
        <is>
          <t>JÖNKÖPINGS LÄN</t>
        </is>
      </c>
      <c r="G97" t="inlineStr">
        <is>
          <t>MULLSJÖ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45016</v>
      </c>
      <c r="E98" s="1" t="n">
        <v>46233</v>
      </c>
      <c r="F98" t="inlineStr">
        <is>
          <t>JÖNKÖPINGS LÄN</t>
        </is>
      </c>
      <c r="G98" t="inlineStr">
        <is>
          <t>MULLSJÖ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44865</v>
      </c>
      <c r="E99" s="1" t="n">
        <v>46233</v>
      </c>
      <c r="F99" t="inlineStr">
        <is>
          <t>JÖNKÖPINGS LÄN</t>
        </is>
      </c>
      <c r="G99" t="inlineStr">
        <is>
          <t>MULLSJÖ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62586-2025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46007</v>
      </c>
      <c r="E100" s="1" t="n">
        <v>46233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46233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46233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46233</v>
      </c>
      <c r="F103" t="inlineStr">
        <is>
          <t>JÖNKÖPINGS LÄN</t>
        </is>
      </c>
      <c r="G103" t="inlineStr">
        <is>
          <t>MULLSJÖ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46233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46233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46233</v>
      </c>
      <c r="F106" t="inlineStr">
        <is>
          <t>JÖNKÖPINGS LÄN</t>
        </is>
      </c>
      <c r="G106" t="inlineStr">
        <is>
          <t>MULLSJÖ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45495</v>
      </c>
      <c r="E107" s="1" t="n">
        <v>46233</v>
      </c>
      <c r="F107" t="inlineStr">
        <is>
          <t>JÖNKÖPINGS LÄN</t>
        </is>
      </c>
      <c r="G107" t="inlineStr">
        <is>
          <t>MULLSJÖ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46233</v>
      </c>
      <c r="F108" t="inlineStr">
        <is>
          <t>JÖNKÖPINGS LÄN</t>
        </is>
      </c>
      <c r="G108" t="inlineStr">
        <is>
          <t>MULLSJÖ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46233</v>
      </c>
      <c r="F109" t="inlineStr">
        <is>
          <t>JÖNKÖPINGS LÄN</t>
        </is>
      </c>
      <c r="G109" t="inlineStr">
        <is>
          <t>MULLSJÖ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46233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46233</v>
      </c>
      <c r="F111" t="inlineStr">
        <is>
          <t>JÖNKÖPINGS LÄN</t>
        </is>
      </c>
      <c r="G111" t="inlineStr">
        <is>
          <t>MULLSJÖ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46122</v>
      </c>
      <c r="E112" s="1" t="n">
        <v>46233</v>
      </c>
      <c r="F112" t="inlineStr">
        <is>
          <t>JÖNKÖPINGS LÄN</t>
        </is>
      </c>
      <c r="G112" t="inlineStr">
        <is>
          <t>MULLSJÖ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46233</v>
      </c>
      <c r="F113" t="inlineStr">
        <is>
          <t>JÖNKÖPINGS LÄN</t>
        </is>
      </c>
      <c r="G113" t="inlineStr">
        <is>
          <t>MULLSJÖ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46233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18421-2026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46126</v>
      </c>
      <c r="E115" s="1" t="n">
        <v>46233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46233</v>
      </c>
      <c r="F116" t="inlineStr">
        <is>
          <t>JÖNKÖPINGS LÄN</t>
        </is>
      </c>
      <c r="G116" t="inlineStr">
        <is>
          <t>MULLSJÖ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45048</v>
      </c>
      <c r="E117" s="1" t="n">
        <v>46233</v>
      </c>
      <c r="F117" t="inlineStr">
        <is>
          <t>JÖNKÖPINGS LÄN</t>
        </is>
      </c>
      <c r="G117" t="inlineStr">
        <is>
          <t>MULLSJÖ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46233</v>
      </c>
      <c r="F118" t="inlineStr">
        <is>
          <t>JÖNKÖPINGS LÄN</t>
        </is>
      </c>
      <c r="G118" t="inlineStr">
        <is>
          <t>MULLSJÖ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46233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46233</v>
      </c>
      <c r="F120" t="inlineStr">
        <is>
          <t>JÖNKÖPINGS LÄN</t>
        </is>
      </c>
      <c r="G120" t="inlineStr">
        <is>
          <t>MULLSJÖ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46233</v>
      </c>
      <c r="F121" t="inlineStr">
        <is>
          <t>JÖNKÖPINGS LÄN</t>
        </is>
      </c>
      <c r="G121" t="inlineStr">
        <is>
          <t>MULLSJÖ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45543</v>
      </c>
      <c r="E122" s="1" t="n">
        <v>46233</v>
      </c>
      <c r="F122" t="inlineStr">
        <is>
          <t>JÖNKÖPINGS LÄN</t>
        </is>
      </c>
      <c r="G122" t="inlineStr">
        <is>
          <t>MULLSJÖ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45752</v>
      </c>
      <c r="E123" s="1" t="n">
        <v>46233</v>
      </c>
      <c r="F123" t="inlineStr">
        <is>
          <t>JÖNKÖPINGS LÄN</t>
        </is>
      </c>
      <c r="G123" t="inlineStr">
        <is>
          <t>MULLSJÖ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46233</v>
      </c>
      <c r="F124" t="inlineStr">
        <is>
          <t>JÖNKÖPINGS LÄN</t>
        </is>
      </c>
      <c r="G124" t="inlineStr">
        <is>
          <t>MULLSJÖ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45730</v>
      </c>
      <c r="E125" s="1" t="n">
        <v>46233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46233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46233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46233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46233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46233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46233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46233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46233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45083</v>
      </c>
      <c r="E134" s="1" t="n">
        <v>46233</v>
      </c>
      <c r="F134" t="inlineStr">
        <is>
          <t>JÖNKÖPINGS LÄN</t>
        </is>
      </c>
      <c r="G134" t="inlineStr">
        <is>
          <t>MULLSJÖ</t>
        </is>
      </c>
      <c r="I134" t="n">
        <v>13.1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45214</v>
      </c>
      <c r="E135" s="1" t="n">
        <v>46233</v>
      </c>
      <c r="F135" t="inlineStr">
        <is>
          <t>JÖNKÖPINGS LÄN</t>
        </is>
      </c>
      <c r="G135" t="inlineStr">
        <is>
          <t>MULLSJÖ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46233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46233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46233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46233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46233</v>
      </c>
      <c r="F140" t="inlineStr">
        <is>
          <t>JÖNKÖPINGS LÄN</t>
        </is>
      </c>
      <c r="G140" t="inlineStr">
        <is>
          <t>MULLSJÖ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46233</v>
      </c>
      <c r="F141" t="inlineStr">
        <is>
          <t>JÖNKÖPINGS LÄN</t>
        </is>
      </c>
      <c r="G141" t="inlineStr">
        <is>
          <t>MULLSJÖ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46233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46233</v>
      </c>
      <c r="F143" t="inlineStr">
        <is>
          <t>JÖNKÖPINGS LÄN</t>
        </is>
      </c>
      <c r="G143" t="inlineStr">
        <is>
          <t>MULLSJÖ</t>
        </is>
      </c>
      <c r="H143" t="inlineStr">
        <is>
          <t>Kyrkan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46233</v>
      </c>
      <c r="F144" t="inlineStr">
        <is>
          <t>JÖNKÖPINGS LÄN</t>
        </is>
      </c>
      <c r="G144" t="inlineStr">
        <is>
          <t>MULLSJÖ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46233</v>
      </c>
      <c r="F145" t="inlineStr">
        <is>
          <t>JÖNKÖPINGS LÄN</t>
        </is>
      </c>
      <c r="G145" t="inlineStr">
        <is>
          <t>MULLSJÖ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28791-2024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45478</v>
      </c>
      <c r="E146" s="1" t="n">
        <v>46233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46233</v>
      </c>
      <c r="F147" t="inlineStr">
        <is>
          <t>JÖNKÖPINGS LÄN</t>
        </is>
      </c>
      <c r="G147" t="inlineStr">
        <is>
          <t>MULLSJÖ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44954</v>
      </c>
      <c r="E148" s="1" t="n">
        <v>46233</v>
      </c>
      <c r="F148" t="inlineStr">
        <is>
          <t>JÖNKÖPINGS LÄN</t>
        </is>
      </c>
      <c r="G148" t="inlineStr">
        <is>
          <t>MULLSJÖ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46233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46233</v>
      </c>
      <c r="F150" t="inlineStr">
        <is>
          <t>JÖNKÖPINGS LÄN</t>
        </is>
      </c>
      <c r="G150" t="inlineStr">
        <is>
          <t>MULLSJÖ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46233</v>
      </c>
      <c r="F151" t="inlineStr">
        <is>
          <t>JÖNKÖPINGS LÄN</t>
        </is>
      </c>
      <c r="G151" t="inlineStr">
        <is>
          <t>MULLSJÖ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44970</v>
      </c>
      <c r="E152" s="1" t="n">
        <v>46233</v>
      </c>
      <c r="F152" t="inlineStr">
        <is>
          <t>JÖNKÖPINGS LÄN</t>
        </is>
      </c>
      <c r="G152" t="inlineStr">
        <is>
          <t>MULLSJÖ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HYPERLINK("https://klasma.github.io/Logging_0642/knärot/A 7181-2023 karta knärot.png", "A 7181-2023")</f>
        <v/>
      </c>
      <c r="AA152">
        <f>HYPERLINK("https://klasma.github.io/Logging_0642/klagomål/A 7181-2023 FSC-klagomål.docx", "A 7181-2023")</f>
        <v/>
      </c>
      <c r="AB152">
        <f>HYPERLINK("https://klasma.github.io/Logging_0642/klagomålsmail/A 7181-2023 FSC-klagomål mail.docx", "A 7181-2023")</f>
        <v/>
      </c>
      <c r="AC152">
        <f>HYPERLINK("https://klasma.github.io/Logging_0642/tillsyn/A 7181-2023 tillsynsbegäran.docx", "A 7181-2023")</f>
        <v/>
      </c>
      <c r="AD152">
        <f>HYPERLINK("https://klasma.github.io/Logging_0642/tillsynsmail/A 7181-2023 tillsynsbegäran mail.docx", "A 7181-2023")</f>
        <v/>
      </c>
    </row>
    <row r="153" ht="15" customHeight="1">
      <c r="A153" t="inlineStr">
        <is>
          <t>A 28605-2023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46233</v>
      </c>
      <c r="F153" t="inlineStr">
        <is>
          <t>JÖNKÖPINGS LÄN</t>
        </is>
      </c>
      <c r="G153" t="inlineStr">
        <is>
          <t>MULLSJÖ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71048-2021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44538</v>
      </c>
      <c r="E154" s="1" t="n">
        <v>46233</v>
      </c>
      <c r="F154" t="inlineStr">
        <is>
          <t>JÖNKÖPINGS LÄN</t>
        </is>
      </c>
      <c r="G154" t="inlineStr">
        <is>
          <t>MULLSJÖ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46233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45244</v>
      </c>
      <c r="E156" s="1" t="n">
        <v>46233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46233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45455</v>
      </c>
      <c r="E158" s="1" t="n">
        <v>46233</v>
      </c>
      <c r="F158" t="inlineStr">
        <is>
          <t>JÖNKÖPINGS LÄN</t>
        </is>
      </c>
      <c r="G158" t="inlineStr">
        <is>
          <t>MULLSJÖ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44954</v>
      </c>
      <c r="E159" s="1" t="n">
        <v>46233</v>
      </c>
      <c r="F159" t="inlineStr">
        <is>
          <t>JÖNKÖPINGS LÄN</t>
        </is>
      </c>
      <c r="G159" t="inlineStr">
        <is>
          <t>MULLSJÖ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46233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46233</v>
      </c>
      <c r="F161" t="inlineStr">
        <is>
          <t>JÖNKÖPINGS LÄN</t>
        </is>
      </c>
      <c r="G161" t="inlineStr">
        <is>
          <t>MULLSJÖ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46233</v>
      </c>
      <c r="F162" t="inlineStr">
        <is>
          <t>JÖNKÖPINGS LÄN</t>
        </is>
      </c>
      <c r="G162" t="inlineStr">
        <is>
          <t>MULLSJÖ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46233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45676</v>
      </c>
      <c r="E164" s="1" t="n">
        <v>46233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46233</v>
      </c>
      <c r="F165" t="inlineStr">
        <is>
          <t>JÖNKÖPINGS LÄN</t>
        </is>
      </c>
      <c r="G165" t="inlineStr">
        <is>
          <t>MULLSJÖ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44742</v>
      </c>
      <c r="E166" s="1" t="n">
        <v>46233</v>
      </c>
      <c r="F166" t="inlineStr">
        <is>
          <t>JÖNKÖPINGS LÄN</t>
        </is>
      </c>
      <c r="G166" t="inlineStr">
        <is>
          <t>MULLSJÖ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46233</v>
      </c>
      <c r="F167" t="inlineStr">
        <is>
          <t>JÖNKÖPINGS LÄN</t>
        </is>
      </c>
      <c r="G167" t="inlineStr">
        <is>
          <t>MULLSJÖ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46233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46233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46233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46233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46233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46233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46233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46233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46233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46233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46233</v>
      </c>
      <c r="F178" t="inlineStr">
        <is>
          <t>JÖNKÖPINGS LÄN</t>
        </is>
      </c>
      <c r="G178" t="inlineStr">
        <is>
          <t>MULLSJÖ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46233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46233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46233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2026-07-30T01:52:36Z</dcterms:created>
  <dcterms:modified xmlns:dcterms="http://purl.org/dc/terms/" xmlns:xsi="http://www.w3.org/2001/XMLSchema-instance" xsi:type="dcterms:W3CDTF">2026-07-30T01:52:36Z</dcterms:modified>
</cp:coreProperties>
</file>