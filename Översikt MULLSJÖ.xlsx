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46295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46295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46295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46295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46295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46295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46295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46295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46295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46295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46295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46295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46295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46295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46295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46295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44654-2023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46295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4.7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44654-2023 artfynd.xlsx", "A 44654-2023")</f>
        <v/>
      </c>
      <c r="X18">
        <f>HYPERLINK("https://klasma.github.io/Logging_0642/kartor/A 44654-2023 karta.png", "A 44654-2023")</f>
        <v/>
      </c>
      <c r="Y18">
        <f>HYPERLINK("https://klasma.github.io/Logging_0642/kartor_geotiff/A 44654-2023 georefererad karta.tif", "A 44654-2023")</f>
        <v/>
      </c>
      <c r="AA18">
        <f>HYPERLINK("https://klasma.github.io/Logging_0642/klagomål/A 44654-2023 FSC-klagomål.docx", "A 44654-2023")</f>
        <v/>
      </c>
      <c r="AB18">
        <f>HYPERLINK("https://klasma.github.io/Logging_0642/klagomålsmail/A 44654-2023 FSC-klagomål mail.docx", "A 44654-2023")</f>
        <v/>
      </c>
      <c r="AC18">
        <f>HYPERLINK("https://klasma.github.io/Logging_0642/tillsyn/A 44654-2023 tillsynsbegäran.docx", "A 44654-2023")</f>
        <v/>
      </c>
      <c r="AD18">
        <f>HYPERLINK("https://klasma.github.io/Logging_0642/tillsynsmail/A 44654-2023 tillsynsbegäran mail.docx", "A 44654-2023")</f>
        <v/>
      </c>
    </row>
    <row r="19" ht="15" customHeight="1">
      <c r="A19" t="inlineStr">
        <is>
          <t>A 56244-2022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46295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HYPERLINK("https://klasma.github.io/Logging_0642/artfynd/A 56244-2022 artfynd.xlsx", "A 56244-2022")</f>
        <v/>
      </c>
      <c r="X19">
        <f>HYPERLINK("https://klasma.github.io/Logging_0642/kartor/A 56244-2022 karta.png", "A 56244-2022")</f>
        <v/>
      </c>
      <c r="Y19">
        <f>HYPERLINK("https://klasma.github.io/Logging_0642/kartor_geotiff/A 56244-2022 georefererad karta.tif", "A 56244-2022")</f>
        <v/>
      </c>
      <c r="AA19">
        <f>HYPERLINK("https://klasma.github.io/Logging_0642/klagomål/A 56244-2022 FSC-klagomål.docx", "A 56244-2022")</f>
        <v/>
      </c>
      <c r="AB19">
        <f>HYPERLINK("https://klasma.github.io/Logging_0642/klagomålsmail/A 56244-2022 FSC-klagomål mail.docx", "A 56244-2022")</f>
        <v/>
      </c>
      <c r="AC19">
        <f>HYPERLINK("https://klasma.github.io/Logging_0642/tillsyn/A 56244-2022 tillsynsbegäran.docx", "A 56244-2022")</f>
        <v/>
      </c>
      <c r="AD19">
        <f>HYPERLINK("https://klasma.github.io/Logging_0642/tillsynsmail/A 56244-2022 tillsynsbegäran mail.docx", "A 56244-2022")</f>
        <v/>
      </c>
    </row>
    <row r="20" ht="15" customHeight="1">
      <c r="A20" t="inlineStr">
        <is>
          <t>A 1221-2026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46295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1</v>
      </c>
      <c r="V20" s="2" t="inlineStr">
        <is>
          <t>Slåtterfibbla</t>
        </is>
      </c>
      <c r="W20">
        <f>HYPERLINK("https://klasma.github.io/Logging_0642/artfynd/A 1221-2026 artfynd.xlsx", "A 1221-2026")</f>
        <v/>
      </c>
      <c r="X20">
        <f>HYPERLINK("https://klasma.github.io/Logging_0642/kartor/A 1221-2026 karta.png", "A 1221-2026")</f>
        <v/>
      </c>
      <c r="Y20">
        <f>HYPERLINK("https://klasma.github.io/Logging_0642/kartor_geotiff/A 1221-2026 georefererad karta.tif", "A 1221-2026")</f>
        <v/>
      </c>
      <c r="AA20">
        <f>HYPERLINK("https://klasma.github.io/Logging_0642/klagomål/A 1221-2026 FSC-klagomål.docx", "A 1221-2026")</f>
        <v/>
      </c>
      <c r="AB20">
        <f>HYPERLINK("https://klasma.github.io/Logging_0642/klagomålsmail/A 1221-2026 FSC-klagomål mail.docx", "A 1221-2026")</f>
        <v/>
      </c>
      <c r="AC20">
        <f>HYPERLINK("https://klasma.github.io/Logging_0642/tillsyn/A 1221-2026 tillsynsbegäran.docx", "A 1221-2026")</f>
        <v/>
      </c>
      <c r="AD20">
        <f>HYPERLINK("https://klasma.github.io/Logging_0642/tillsynsmail/A 1221-2026 tillsynsbegäran mail.docx", "A 1221-2026")</f>
        <v/>
      </c>
    </row>
    <row r="21" ht="15" customHeight="1">
      <c r="A21" t="inlineStr">
        <is>
          <t>A 7823-2024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45349</v>
      </c>
      <c r="E21" s="1" t="n">
        <v>46295</v>
      </c>
      <c r="F21" t="inlineStr">
        <is>
          <t>JÖNKÖPINGS LÄN</t>
        </is>
      </c>
      <c r="G21" t="inlineStr">
        <is>
          <t>MULLSJÖ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HYPERLINK("https://klasma.github.io/Logging_0642/artfynd/A 7823-2024 artfynd.xlsx", "A 7823-2024")</f>
        <v/>
      </c>
      <c r="X21">
        <f>HYPERLINK("https://klasma.github.io/Logging_0642/kartor/A 7823-2024 karta.png", "A 7823-2024")</f>
        <v/>
      </c>
      <c r="Y21">
        <f>HYPERLINK("https://klasma.github.io/Logging_0642/kartor_geotiff/A 7823-2024 georefererad karta.tif", "A 7823-2024")</f>
        <v/>
      </c>
      <c r="AA21">
        <f>HYPERLINK("https://klasma.github.io/Logging_0642/klagomål/A 7823-2024 FSC-klagomål.docx", "A 7823-2024")</f>
        <v/>
      </c>
      <c r="AB21">
        <f>HYPERLINK("https://klasma.github.io/Logging_0642/klagomålsmail/A 7823-2024 FSC-klagomål mail.docx", "A 7823-2024")</f>
        <v/>
      </c>
      <c r="AC21">
        <f>HYPERLINK("https://klasma.github.io/Logging_0642/tillsyn/A 7823-2024 tillsynsbegäran.docx", "A 7823-2024")</f>
        <v/>
      </c>
      <c r="AD21">
        <f>HYPERLINK("https://klasma.github.io/Logging_0642/tillsynsmail/A 7823-2024 tillsynsbegäran mail.docx", "A 7823-2024")</f>
        <v/>
      </c>
    </row>
    <row r="22" ht="15" customHeight="1">
      <c r="A22" t="inlineStr">
        <is>
          <t>A 62232-2022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44922</v>
      </c>
      <c r="E22" s="1" t="n">
        <v>46295</v>
      </c>
      <c r="F22" t="inlineStr">
        <is>
          <t>JÖNKÖPINGS LÄN</t>
        </is>
      </c>
      <c r="G22" t="inlineStr">
        <is>
          <t>MULLSJÖ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HYPERLINK("https://klasma.github.io/Logging_0642/artfynd/A 62232-2022 artfynd.xlsx", "A 62232-2022")</f>
        <v/>
      </c>
      <c r="X22">
        <f>HYPERLINK("https://klasma.github.io/Logging_0642/kartor/A 62232-2022 karta.png", "A 62232-2022")</f>
        <v/>
      </c>
      <c r="Y22">
        <f>HYPERLINK("https://klasma.github.io/Logging_0642/kartor_geotiff/A 62232-2022 georefererad karta.tif", "A 62232-2022")</f>
        <v/>
      </c>
      <c r="AA22">
        <f>HYPERLINK("https://klasma.github.io/Logging_0642/klagomål/A 62232-2022 FSC-klagomål.docx", "A 62232-2022")</f>
        <v/>
      </c>
      <c r="AB22">
        <f>HYPERLINK("https://klasma.github.io/Logging_0642/klagomålsmail/A 62232-2022 FSC-klagomål mail.docx", "A 62232-2022")</f>
        <v/>
      </c>
      <c r="AC22">
        <f>HYPERLINK("https://klasma.github.io/Logging_0642/tillsyn/A 62232-2022 tillsynsbegäran.docx", "A 62232-2022")</f>
        <v/>
      </c>
      <c r="AD22">
        <f>HYPERLINK("https://klasma.github.io/Logging_0642/tillsynsmail/A 62232-2022 tillsynsbegäran mail.docx", "A 62232-2022")</f>
        <v/>
      </c>
    </row>
    <row r="23" ht="15" customHeight="1">
      <c r="A23" t="inlineStr">
        <is>
          <t>A 15498-2024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46295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4.8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HYPERLINK("https://klasma.github.io/Logging_0642/artfynd/A 15498-2024 artfynd.xlsx", "A 15498-2024")</f>
        <v/>
      </c>
      <c r="X23">
        <f>HYPERLINK("https://klasma.github.io/Logging_0642/kartor/A 15498-2024 karta.png", "A 15498-2024")</f>
        <v/>
      </c>
      <c r="Y23">
        <f>HYPERLINK("https://klasma.github.io/Logging_0642/kartor_geotiff/A 15498-2024 georefererad karta.tif", "A 15498-2024")</f>
        <v/>
      </c>
      <c r="Z23">
        <f>HYPERLINK("https://klasma.github.io/Logging_0642/knärot/A 15498-2024 karta knärot.png", "A 15498-2024")</f>
        <v/>
      </c>
      <c r="AA23">
        <f>HYPERLINK("https://klasma.github.io/Logging_0642/klagomål/A 15498-2024 FSC-klagomål.docx", "A 15498-2024")</f>
        <v/>
      </c>
      <c r="AB23">
        <f>HYPERLINK("https://klasma.github.io/Logging_0642/klagomålsmail/A 15498-2024 FSC-klagomål mail.docx", "A 15498-2024")</f>
        <v/>
      </c>
      <c r="AC23">
        <f>HYPERLINK("https://klasma.github.io/Logging_0642/tillsyn/A 15498-2024 tillsynsbegäran.docx", "A 15498-2024")</f>
        <v/>
      </c>
      <c r="AD23">
        <f>HYPERLINK("https://klasma.github.io/Logging_0642/tillsynsmail/A 15498-2024 tillsynsbegäran mail.docx", "A 15498-2024")</f>
        <v/>
      </c>
    </row>
    <row r="24" ht="15" customHeight="1">
      <c r="A24" t="inlineStr">
        <is>
          <t>A 55693-2025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45972</v>
      </c>
      <c r="E24" s="1" t="n">
        <v>46295</v>
      </c>
      <c r="F24" t="inlineStr">
        <is>
          <t>JÖNKÖPINGS LÄN</t>
        </is>
      </c>
      <c r="G24" t="inlineStr">
        <is>
          <t>MULLSJÖ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Ask</t>
        </is>
      </c>
      <c r="W24">
        <f>HYPERLINK("https://klasma.github.io/Logging_0642/artfynd/A 55693-2025 artfynd.xlsx", "A 55693-2025")</f>
        <v/>
      </c>
      <c r="X24">
        <f>HYPERLINK("https://klasma.github.io/Logging_0642/kartor/A 55693-2025 karta.png", "A 55693-2025")</f>
        <v/>
      </c>
      <c r="Y24">
        <f>HYPERLINK("https://klasma.github.io/Logging_0642/kartor_geotiff/A 55693-2025 georefererad karta.tif", "A 55693-2025")</f>
        <v/>
      </c>
      <c r="AA24">
        <f>HYPERLINK("https://klasma.github.io/Logging_0642/klagomål/A 55693-2025 FSC-klagomål.docx", "A 55693-2025")</f>
        <v/>
      </c>
      <c r="AB24">
        <f>HYPERLINK("https://klasma.github.io/Logging_0642/klagomålsmail/A 55693-2025 FSC-klagomål mail.docx", "A 55693-2025")</f>
        <v/>
      </c>
      <c r="AC24">
        <f>HYPERLINK("https://klasma.github.io/Logging_0642/tillsyn/A 55693-2025 tillsynsbegäran.docx", "A 55693-2025")</f>
        <v/>
      </c>
      <c r="AD24">
        <f>HYPERLINK("https://klasma.github.io/Logging_0642/tillsynsmail/A 55693-2025 tillsynsbegäran mail.docx", "A 55693-2025")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46295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14230-2024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45393</v>
      </c>
      <c r="E26" s="1" t="n">
        <v>46295</v>
      </c>
      <c r="F26" t="inlineStr">
        <is>
          <t>JÖNKÖPINGS LÄN</t>
        </is>
      </c>
      <c r="G26" t="inlineStr">
        <is>
          <t>MULLSJÖ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Guldlockmossa</t>
        </is>
      </c>
      <c r="W26">
        <f>HYPERLINK("https://klasma.github.io/Logging_0642/artfynd/A 14230-2024 artfynd.xlsx", "A 14230-2024")</f>
        <v/>
      </c>
      <c r="X26">
        <f>HYPERLINK("https://klasma.github.io/Logging_0642/kartor/A 14230-2024 karta.png", "A 14230-2024")</f>
        <v/>
      </c>
      <c r="Y26">
        <f>HYPERLINK("https://klasma.github.io/Logging_0642/kartor_geotiff/A 14230-2024 georefererad karta.tif", "A 14230-2024")</f>
        <v/>
      </c>
      <c r="AA26">
        <f>HYPERLINK("https://klasma.github.io/Logging_0642/klagomål/A 14230-2024 FSC-klagomål.docx", "A 14230-2024")</f>
        <v/>
      </c>
      <c r="AB26">
        <f>HYPERLINK("https://klasma.github.io/Logging_0642/klagomålsmail/A 14230-2024 FSC-klagomål mail.docx", "A 14230-2024")</f>
        <v/>
      </c>
      <c r="AC26">
        <f>HYPERLINK("https://klasma.github.io/Logging_0642/tillsyn/A 14230-2024 tillsynsbegäran.docx", "A 14230-2024")</f>
        <v/>
      </c>
      <c r="AD26">
        <f>HYPERLINK("https://klasma.github.io/Logging_0642/tillsynsmail/A 14230-2024 tillsynsbegäran mail.docx", "A 14230-2024")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46295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46295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46295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46295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46295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46295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46295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46295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46295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46295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46295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46295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46295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46295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46295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46295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46295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46295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46295</v>
      </c>
      <c r="F45" t="inlineStr">
        <is>
          <t>JÖNKÖPINGS LÄN</t>
        </is>
      </c>
      <c r="G45" t="inlineStr">
        <is>
          <t>MULLSJÖ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46295</v>
      </c>
      <c r="F46" t="inlineStr">
        <is>
          <t>JÖNKÖPINGS LÄN</t>
        </is>
      </c>
      <c r="G46" t="inlineStr">
        <is>
          <t>MULLSJÖ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29527-2024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45484</v>
      </c>
      <c r="E47" s="1" t="n">
        <v>46295</v>
      </c>
      <c r="F47" t="inlineStr">
        <is>
          <t>JÖNKÖPINGS LÄN</t>
        </is>
      </c>
      <c r="G47" t="inlineStr">
        <is>
          <t>MULLSJÖ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42872-2022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44832</v>
      </c>
      <c r="E48" s="1" t="n">
        <v>46295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45455</v>
      </c>
      <c r="E49" s="1" t="n">
        <v>46295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46295</v>
      </c>
      <c r="F50" t="inlineStr">
        <is>
          <t>JÖNKÖPINGS LÄN</t>
        </is>
      </c>
      <c r="G50" t="inlineStr">
        <is>
          <t>MULLSJÖ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57025-2022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44895</v>
      </c>
      <c r="E51" s="1" t="n">
        <v>46295</v>
      </c>
      <c r="F51" t="inlineStr">
        <is>
          <t>JÖNKÖPINGS LÄN</t>
        </is>
      </c>
      <c r="G51" t="inlineStr">
        <is>
          <t>MULLSJÖ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46295</v>
      </c>
      <c r="F52" t="inlineStr">
        <is>
          <t>JÖNKÖPINGS LÄN</t>
        </is>
      </c>
      <c r="G52" t="inlineStr">
        <is>
          <t>MULLSJÖ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46295</v>
      </c>
      <c r="F53" t="inlineStr">
        <is>
          <t>JÖNKÖPINGS LÄN</t>
        </is>
      </c>
      <c r="G53" t="inlineStr">
        <is>
          <t>MULLSJÖ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46295</v>
      </c>
      <c r="F54" t="inlineStr">
        <is>
          <t>JÖNKÖPINGS LÄN</t>
        </is>
      </c>
      <c r="G54" t="inlineStr">
        <is>
          <t>MULLSJÖ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46295</v>
      </c>
      <c r="F55" t="inlineStr">
        <is>
          <t>JÖNKÖPINGS LÄN</t>
        </is>
      </c>
      <c r="G55" t="inlineStr">
        <is>
          <t>MULLSJÖ</t>
        </is>
      </c>
      <c r="I55" t="n">
        <v>10.9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46295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45740</v>
      </c>
      <c r="E57" s="1" t="n">
        <v>46295</v>
      </c>
      <c r="F57" t="inlineStr">
        <is>
          <t>JÖNKÖPINGS LÄN</t>
        </is>
      </c>
      <c r="G57" t="inlineStr">
        <is>
          <t>MULLSJÖ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46295</v>
      </c>
      <c r="F58" t="inlineStr">
        <is>
          <t>JÖNKÖPINGS LÄN</t>
        </is>
      </c>
      <c r="G58" t="inlineStr">
        <is>
          <t>MULLSJÖ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45797</v>
      </c>
      <c r="E59" s="1" t="n">
        <v>46295</v>
      </c>
      <c r="F59" t="inlineStr">
        <is>
          <t>JÖNKÖPINGS LÄN</t>
        </is>
      </c>
      <c r="G59" t="inlineStr">
        <is>
          <t>MULLSJÖ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45529</v>
      </c>
      <c r="E60" s="1" t="n">
        <v>46295</v>
      </c>
      <c r="F60" t="inlineStr">
        <is>
          <t>JÖNKÖPINGS LÄN</t>
        </is>
      </c>
      <c r="G60" t="inlineStr">
        <is>
          <t>MULLSJÖ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14029-2025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45740</v>
      </c>
      <c r="E61" s="1" t="n">
        <v>46295</v>
      </c>
      <c r="F61" t="inlineStr">
        <is>
          <t>JÖNKÖPINGS LÄN</t>
        </is>
      </c>
      <c r="G61" t="inlineStr">
        <is>
          <t>MULLSJÖ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46295</v>
      </c>
      <c r="F62" t="inlineStr">
        <is>
          <t>JÖNKÖPINGS LÄN</t>
        </is>
      </c>
      <c r="G62" t="inlineStr">
        <is>
          <t>MULLSJÖ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46295</v>
      </c>
      <c r="F63" t="inlineStr">
        <is>
          <t>JÖNKÖPINGS LÄN</t>
        </is>
      </c>
      <c r="G63" t="inlineStr">
        <is>
          <t>MULLSJÖ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56145-2022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44889</v>
      </c>
      <c r="E64" s="1" t="n">
        <v>46295</v>
      </c>
      <c r="F64" t="inlineStr">
        <is>
          <t>JÖNKÖPINGS LÄN</t>
        </is>
      </c>
      <c r="G64" t="inlineStr">
        <is>
          <t>MULLSJÖ</t>
        </is>
      </c>
      <c r="I64" t="n">
        <v>14.1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25863-2025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45804</v>
      </c>
      <c r="E65" s="1" t="n">
        <v>46295</v>
      </c>
      <c r="F65" t="inlineStr">
        <is>
          <t>JÖNKÖPINGS LÄN</t>
        </is>
      </c>
      <c r="G65" t="inlineStr">
        <is>
          <t>MULLSJÖ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45521</v>
      </c>
      <c r="E66" s="1" t="n">
        <v>46295</v>
      </c>
      <c r="F66" t="inlineStr">
        <is>
          <t>JÖNKÖPINGS LÄN</t>
        </is>
      </c>
      <c r="G66" t="inlineStr">
        <is>
          <t>MULLSJÖ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44964</v>
      </c>
      <c r="E67" s="1" t="n">
        <v>46295</v>
      </c>
      <c r="F67" t="inlineStr">
        <is>
          <t>JÖNKÖPINGS LÄN</t>
        </is>
      </c>
      <c r="G67" t="inlineStr">
        <is>
          <t>MULLSJÖ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42155-2025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45904</v>
      </c>
      <c r="E68" s="1" t="n">
        <v>46295</v>
      </c>
      <c r="F68" t="inlineStr">
        <is>
          <t>JÖNKÖPINGS LÄN</t>
        </is>
      </c>
      <c r="G68" t="inlineStr">
        <is>
          <t>MULLSJÖ</t>
        </is>
      </c>
      <c r="H68" t="inlineStr">
        <is>
          <t>Kyrkan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46295</v>
      </c>
      <c r="F69" t="inlineStr">
        <is>
          <t>JÖNKÖPINGS LÄN</t>
        </is>
      </c>
      <c r="G69" t="inlineStr">
        <is>
          <t>MULLSJÖ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57500-2022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44896</v>
      </c>
      <c r="E70" s="1" t="n">
        <v>46295</v>
      </c>
      <c r="F70" t="inlineStr">
        <is>
          <t>JÖNKÖPINGS LÄN</t>
        </is>
      </c>
      <c r="G70" t="inlineStr">
        <is>
          <t>MULLSJÖ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14226-2024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45393</v>
      </c>
      <c r="E71" s="1" t="n">
        <v>46295</v>
      </c>
      <c r="F71" t="inlineStr">
        <is>
          <t>JÖNKÖPINGS LÄN</t>
        </is>
      </c>
      <c r="G71" t="inlineStr">
        <is>
          <t>MULLSJÖ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46295</v>
      </c>
      <c r="F72" t="inlineStr">
        <is>
          <t>JÖNKÖPINGS LÄN</t>
        </is>
      </c>
      <c r="G72" t="inlineStr">
        <is>
          <t>MULLSJÖ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46295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46295</v>
      </c>
      <c r="F74" t="inlineStr">
        <is>
          <t>JÖNKÖPINGS LÄN</t>
        </is>
      </c>
      <c r="G74" t="inlineStr">
        <is>
          <t>MULLSJÖ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46295</v>
      </c>
      <c r="F75" t="inlineStr">
        <is>
          <t>JÖNKÖPINGS LÄN</t>
        </is>
      </c>
      <c r="G75" t="inlineStr">
        <is>
          <t>MULLSJÖ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46295</v>
      </c>
      <c r="F76" t="inlineStr">
        <is>
          <t>JÖNKÖPINGS LÄN</t>
        </is>
      </c>
      <c r="G76" t="inlineStr">
        <is>
          <t>MULLSJÖ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44670</v>
      </c>
      <c r="E77" s="1" t="n">
        <v>46295</v>
      </c>
      <c r="F77" t="inlineStr">
        <is>
          <t>JÖNKÖPINGS LÄN</t>
        </is>
      </c>
      <c r="G77" t="inlineStr">
        <is>
          <t>MULLSJÖ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45553</v>
      </c>
      <c r="E78" s="1" t="n">
        <v>46295</v>
      </c>
      <c r="F78" t="inlineStr">
        <is>
          <t>JÖNKÖPINGS LÄN</t>
        </is>
      </c>
      <c r="G78" t="inlineStr">
        <is>
          <t>MULLSJÖ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46295</v>
      </c>
      <c r="F79" t="inlineStr">
        <is>
          <t>JÖNKÖPINGS LÄN</t>
        </is>
      </c>
      <c r="G79" t="inlineStr">
        <is>
          <t>MULLSJÖ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45928</v>
      </c>
      <c r="E80" s="1" t="n">
        <v>46295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46295</v>
      </c>
      <c r="F81" t="inlineStr">
        <is>
          <t>JÖNKÖPINGS LÄN</t>
        </is>
      </c>
      <c r="G81" t="inlineStr">
        <is>
          <t>MULLSJÖ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46295</v>
      </c>
      <c r="F82" t="inlineStr">
        <is>
          <t>JÖNKÖPINGS LÄN</t>
        </is>
      </c>
      <c r="G82" t="inlineStr">
        <is>
          <t>MULLSJÖ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46295</v>
      </c>
      <c r="F83" t="inlineStr">
        <is>
          <t>JÖNKÖPINGS LÄN</t>
        </is>
      </c>
      <c r="G83" t="inlineStr">
        <is>
          <t>MULLSJÖ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21687-2022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46295</v>
      </c>
      <c r="F84" t="inlineStr">
        <is>
          <t>JÖNKÖPINGS LÄN</t>
        </is>
      </c>
      <c r="G84" t="inlineStr">
        <is>
          <t>MULLSJÖ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45596</v>
      </c>
      <c r="E85" s="1" t="n">
        <v>46295</v>
      </c>
      <c r="F85" t="inlineStr">
        <is>
          <t>JÖNKÖPINGS LÄN</t>
        </is>
      </c>
      <c r="G85" t="inlineStr">
        <is>
          <t>MULLSJÖ</t>
        </is>
      </c>
      <c r="I85" t="n">
        <v>15.1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46295</v>
      </c>
      <c r="F86" t="inlineStr">
        <is>
          <t>JÖNKÖPINGS LÄN</t>
        </is>
      </c>
      <c r="G86" t="inlineStr">
        <is>
          <t>MULLSJÖ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12273-2023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44998</v>
      </c>
      <c r="E87" s="1" t="n">
        <v>46295</v>
      </c>
      <c r="F87" t="inlineStr">
        <is>
          <t>JÖNKÖPINGS LÄN</t>
        </is>
      </c>
      <c r="G87" t="inlineStr">
        <is>
          <t>MULLSJÖ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46295</v>
      </c>
      <c r="F88" t="inlineStr">
        <is>
          <t>JÖNKÖPINGS LÄN</t>
        </is>
      </c>
      <c r="G88" t="inlineStr">
        <is>
          <t>MULLSJÖ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45875</v>
      </c>
      <c r="E89" s="1" t="n">
        <v>46295</v>
      </c>
      <c r="F89" t="inlineStr">
        <is>
          <t>JÖNKÖPINGS LÄN</t>
        </is>
      </c>
      <c r="G89" t="inlineStr">
        <is>
          <t>MULLSJÖ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45953</v>
      </c>
      <c r="E90" s="1" t="n">
        <v>46295</v>
      </c>
      <c r="F90" t="inlineStr">
        <is>
          <t>JÖNKÖPINGS LÄN</t>
        </is>
      </c>
      <c r="G90" t="inlineStr">
        <is>
          <t>MULLSJÖ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45877</v>
      </c>
      <c r="E91" s="1" t="n">
        <v>46295</v>
      </c>
      <c r="F91" t="inlineStr">
        <is>
          <t>JÖNKÖPINGS LÄN</t>
        </is>
      </c>
      <c r="G91" t="inlineStr">
        <is>
          <t>MULLSJÖ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45877</v>
      </c>
      <c r="E92" s="1" t="n">
        <v>46295</v>
      </c>
      <c r="F92" t="inlineStr">
        <is>
          <t>JÖNKÖPINGS LÄN</t>
        </is>
      </c>
      <c r="G92" t="inlineStr">
        <is>
          <t>MULLSJÖ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46295</v>
      </c>
      <c r="F93" t="inlineStr">
        <is>
          <t>JÖNKÖPINGS LÄN</t>
        </is>
      </c>
      <c r="G93" t="inlineStr">
        <is>
          <t>MULLSJÖ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46295</v>
      </c>
      <c r="F94" t="inlineStr">
        <is>
          <t>JÖNKÖPINGS LÄN</t>
        </is>
      </c>
      <c r="G94" t="inlineStr">
        <is>
          <t>MULLSJÖ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45204</v>
      </c>
      <c r="E95" s="1" t="n">
        <v>46295</v>
      </c>
      <c r="F95" t="inlineStr">
        <is>
          <t>JÖNKÖPINGS LÄN</t>
        </is>
      </c>
      <c r="G95" t="inlineStr">
        <is>
          <t>MULLSJÖ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46295</v>
      </c>
      <c r="F96" t="inlineStr">
        <is>
          <t>JÖNKÖPINGS LÄN</t>
        </is>
      </c>
      <c r="G96" t="inlineStr">
        <is>
          <t>MULLSJÖ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12351-2026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46088</v>
      </c>
      <c r="E97" s="1" t="n">
        <v>46295</v>
      </c>
      <c r="F97" t="inlineStr">
        <is>
          <t>JÖNKÖPINGS LÄN</t>
        </is>
      </c>
      <c r="G97" t="inlineStr">
        <is>
          <t>MULLSJÖ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62586-2025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46007</v>
      </c>
      <c r="E98" s="1" t="n">
        <v>46295</v>
      </c>
      <c r="F98" t="inlineStr">
        <is>
          <t>JÖNKÖPINGS LÄN</t>
        </is>
      </c>
      <c r="G98" t="inlineStr">
        <is>
          <t>MULLSJÖ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46295</v>
      </c>
      <c r="F99" t="inlineStr">
        <is>
          <t>JÖNKÖPINGS LÄN</t>
        </is>
      </c>
      <c r="G99" t="inlineStr">
        <is>
          <t>MULLSJÖ</t>
        </is>
      </c>
      <c r="I99" t="n">
        <v>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46295</v>
      </c>
      <c r="F100" t="inlineStr">
        <is>
          <t>JÖNKÖPINGS LÄN</t>
        </is>
      </c>
      <c r="G100" t="inlineStr">
        <is>
          <t>MULLSJÖ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16573-2025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45752</v>
      </c>
      <c r="E101" s="1" t="n">
        <v>46295</v>
      </c>
      <c r="F101" t="inlineStr">
        <is>
          <t>JÖNKÖPINGS LÄN</t>
        </is>
      </c>
      <c r="G101" t="inlineStr">
        <is>
          <t>MULLSJÖ</t>
        </is>
      </c>
      <c r="I101" t="n">
        <v>9.6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40960-2023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45169</v>
      </c>
      <c r="E102" s="1" t="n">
        <v>46295</v>
      </c>
      <c r="F102" t="inlineStr">
        <is>
          <t>JÖNKÖPINGS LÄN</t>
        </is>
      </c>
      <c r="G102" t="inlineStr">
        <is>
          <t>MULLSJÖ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45246</v>
      </c>
      <c r="E103" s="1" t="n">
        <v>46295</v>
      </c>
      <c r="F103" t="inlineStr">
        <is>
          <t>JÖNKÖPINGS LÄN</t>
        </is>
      </c>
      <c r="G103" t="inlineStr">
        <is>
          <t>MULLSJÖ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45016</v>
      </c>
      <c r="E104" s="1" t="n">
        <v>46295</v>
      </c>
      <c r="F104" t="inlineStr">
        <is>
          <t>JÖNKÖPINGS LÄN</t>
        </is>
      </c>
      <c r="G104" t="inlineStr">
        <is>
          <t>MULLSJÖ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50297-2022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44865</v>
      </c>
      <c r="E105" s="1" t="n">
        <v>46295</v>
      </c>
      <c r="F105" t="inlineStr">
        <is>
          <t>JÖNKÖPINGS LÄN</t>
        </is>
      </c>
      <c r="G105" t="inlineStr">
        <is>
          <t>MULLSJÖ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45752</v>
      </c>
      <c r="E106" s="1" t="n">
        <v>46295</v>
      </c>
      <c r="F106" t="inlineStr">
        <is>
          <t>JÖNKÖPINGS LÄN</t>
        </is>
      </c>
      <c r="G106" t="inlineStr">
        <is>
          <t>MULLSJÖ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45752</v>
      </c>
      <c r="E107" s="1" t="n">
        <v>46295</v>
      </c>
      <c r="F107" t="inlineStr">
        <is>
          <t>JÖNKÖPINGS LÄN</t>
        </is>
      </c>
      <c r="G107" t="inlineStr">
        <is>
          <t>MULLSJÖ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46295</v>
      </c>
      <c r="F108" t="inlineStr">
        <is>
          <t>JÖNKÖPINGS LÄN</t>
        </is>
      </c>
      <c r="G108" t="inlineStr">
        <is>
          <t>MULLSJÖ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18421-2026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46126</v>
      </c>
      <c r="E109" s="1" t="n">
        <v>46295</v>
      </c>
      <c r="F109" t="inlineStr">
        <is>
          <t>JÖNKÖPINGS LÄN</t>
        </is>
      </c>
      <c r="G109" t="inlineStr">
        <is>
          <t>MULLSJÖ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45495</v>
      </c>
      <c r="E110" s="1" t="n">
        <v>46295</v>
      </c>
      <c r="F110" t="inlineStr">
        <is>
          <t>JÖNKÖPINGS LÄN</t>
        </is>
      </c>
      <c r="G110" t="inlineStr">
        <is>
          <t>MULLSJÖ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45313</v>
      </c>
      <c r="E111" s="1" t="n">
        <v>46295</v>
      </c>
      <c r="F111" t="inlineStr">
        <is>
          <t>JÖNKÖPINGS LÄN</t>
        </is>
      </c>
      <c r="G111" t="inlineStr">
        <is>
          <t>MULLSJÖ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44954</v>
      </c>
      <c r="E112" s="1" t="n">
        <v>46295</v>
      </c>
      <c r="F112" t="inlineStr">
        <is>
          <t>JÖNKÖPINGS LÄN</t>
        </is>
      </c>
      <c r="G112" t="inlineStr">
        <is>
          <t>MULLSJÖ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44992</v>
      </c>
      <c r="E113" s="1" t="n">
        <v>46295</v>
      </c>
      <c r="F113" t="inlineStr">
        <is>
          <t>JÖNKÖPINGS LÄN</t>
        </is>
      </c>
      <c r="G113" t="inlineStr">
        <is>
          <t>MULLSJÖ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7654-2022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46295</v>
      </c>
      <c r="F114" t="inlineStr">
        <is>
          <t>JÖNKÖPINGS LÄN</t>
        </is>
      </c>
      <c r="G114" t="inlineStr">
        <is>
          <t>MULLSJÖ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46295</v>
      </c>
      <c r="F115" t="inlineStr">
        <is>
          <t>JÖNKÖPINGS LÄN</t>
        </is>
      </c>
      <c r="G115" t="inlineStr">
        <is>
          <t>MULLSJÖ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44938</v>
      </c>
      <c r="E116" s="1" t="n">
        <v>46295</v>
      </c>
      <c r="F116" t="inlineStr">
        <is>
          <t>JÖNKÖPINGS LÄN</t>
        </is>
      </c>
      <c r="G116" t="inlineStr">
        <is>
          <t>MULLSJÖ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46295</v>
      </c>
      <c r="F117" t="inlineStr">
        <is>
          <t>JÖNKÖPINGS LÄN</t>
        </is>
      </c>
      <c r="G117" t="inlineStr">
        <is>
          <t>MULLSJÖ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46295</v>
      </c>
      <c r="F118" t="inlineStr">
        <is>
          <t>JÖNKÖPINGS LÄN</t>
        </is>
      </c>
      <c r="G118" t="inlineStr">
        <is>
          <t>MULLSJÖ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45048</v>
      </c>
      <c r="E119" s="1" t="n">
        <v>46295</v>
      </c>
      <c r="F119" t="inlineStr">
        <is>
          <t>JÖNKÖPINGS LÄN</t>
        </is>
      </c>
      <c r="G119" t="inlineStr">
        <is>
          <t>MULLSJÖ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45401</v>
      </c>
      <c r="E120" s="1" t="n">
        <v>46295</v>
      </c>
      <c r="F120" t="inlineStr">
        <is>
          <t>JÖNKÖPINGS LÄN</t>
        </is>
      </c>
      <c r="G120" t="inlineStr">
        <is>
          <t>MULLSJÖ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37797-2024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45543</v>
      </c>
      <c r="E121" s="1" t="n">
        <v>46295</v>
      </c>
      <c r="F121" t="inlineStr">
        <is>
          <t>JÖNKÖPINGS LÄN</t>
        </is>
      </c>
      <c r="G121" t="inlineStr">
        <is>
          <t>MULLSJÖ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45543</v>
      </c>
      <c r="E122" s="1" t="n">
        <v>46295</v>
      </c>
      <c r="F122" t="inlineStr">
        <is>
          <t>JÖNKÖPINGS LÄN</t>
        </is>
      </c>
      <c r="G122" t="inlineStr">
        <is>
          <t>MULLSJÖ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16571-2025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45752</v>
      </c>
      <c r="E123" s="1" t="n">
        <v>46295</v>
      </c>
      <c r="F123" t="inlineStr">
        <is>
          <t>JÖNKÖPINGS LÄN</t>
        </is>
      </c>
      <c r="G123" t="inlineStr">
        <is>
          <t>MULLSJÖ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45083</v>
      </c>
      <c r="E124" s="1" t="n">
        <v>46295</v>
      </c>
      <c r="F124" t="inlineStr">
        <is>
          <t>JÖNKÖPINGS LÄN</t>
        </is>
      </c>
      <c r="G124" t="inlineStr">
        <is>
          <t>MULLSJÖ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46295</v>
      </c>
      <c r="F125" t="inlineStr">
        <is>
          <t>JÖNKÖPINGS LÄN</t>
        </is>
      </c>
      <c r="G125" t="inlineStr">
        <is>
          <t>MULLSJÖ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46295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46295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46295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45682</v>
      </c>
      <c r="E129" s="1" t="n">
        <v>46295</v>
      </c>
      <c r="F129" t="inlineStr">
        <is>
          <t>JÖNKÖPINGS LÄN</t>
        </is>
      </c>
      <c r="G129" t="inlineStr">
        <is>
          <t>MULLSJÖ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46295</v>
      </c>
      <c r="F130" t="inlineStr">
        <is>
          <t>JÖNKÖPINGS LÄN</t>
        </is>
      </c>
      <c r="G130" t="inlineStr">
        <is>
          <t>MULLSJÖ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46295</v>
      </c>
      <c r="F131" t="inlineStr">
        <is>
          <t>JÖNKÖPINGS LÄN</t>
        </is>
      </c>
      <c r="G131" t="inlineStr">
        <is>
          <t>MULLSJÖ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46295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46295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45214</v>
      </c>
      <c r="E134" s="1" t="n">
        <v>46295</v>
      </c>
      <c r="F134" t="inlineStr">
        <is>
          <t>JÖNKÖPINGS LÄN</t>
        </is>
      </c>
      <c r="G134" t="inlineStr">
        <is>
          <t>MULLSJÖ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46295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46295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46295</v>
      </c>
      <c r="F137" t="inlineStr">
        <is>
          <t>JÖNKÖPINGS LÄN</t>
        </is>
      </c>
      <c r="G137" t="inlineStr">
        <is>
          <t>MULLSJÖ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44796</v>
      </c>
      <c r="E138" s="1" t="n">
        <v>46295</v>
      </c>
      <c r="F138" t="inlineStr">
        <is>
          <t>JÖNKÖPINGS LÄN</t>
        </is>
      </c>
      <c r="G138" t="inlineStr">
        <is>
          <t>MULLSJÖ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45372</v>
      </c>
      <c r="E139" s="1" t="n">
        <v>46295</v>
      </c>
      <c r="F139" t="inlineStr">
        <is>
          <t>JÖNKÖPINGS LÄN</t>
        </is>
      </c>
      <c r="G139" t="inlineStr">
        <is>
          <t>MULLSJÖ</t>
        </is>
      </c>
      <c r="H139" t="inlineStr">
        <is>
          <t>Kyrkan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46295</v>
      </c>
      <c r="F140" t="inlineStr">
        <is>
          <t>JÖNKÖPINGS LÄN</t>
        </is>
      </c>
      <c r="G140" t="inlineStr">
        <is>
          <t>MULLSJÖ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46295</v>
      </c>
      <c r="F141" t="inlineStr">
        <is>
          <t>JÖNKÖPINGS LÄN</t>
        </is>
      </c>
      <c r="G141" t="inlineStr">
        <is>
          <t>MULLSJÖ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28517-2026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46197</v>
      </c>
      <c r="E142" s="1" t="n">
        <v>46295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44966</v>
      </c>
      <c r="E143" s="1" t="n">
        <v>46295</v>
      </c>
      <c r="F143" t="inlineStr">
        <is>
          <t>JÖNKÖPINGS LÄN</t>
        </is>
      </c>
      <c r="G143" t="inlineStr">
        <is>
          <t>MULLSJÖ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28791-2024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45478</v>
      </c>
      <c r="E144" s="1" t="n">
        <v>46295</v>
      </c>
      <c r="F144" t="inlineStr">
        <is>
          <t>JÖNKÖPINGS LÄN</t>
        </is>
      </c>
      <c r="G144" t="inlineStr">
        <is>
          <t>MULLSJÖ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46295</v>
      </c>
      <c r="F145" t="inlineStr">
        <is>
          <t>JÖNKÖPINGS LÄN</t>
        </is>
      </c>
      <c r="G145" t="inlineStr">
        <is>
          <t>MULLSJÖ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44954</v>
      </c>
      <c r="E146" s="1" t="n">
        <v>46295</v>
      </c>
      <c r="F146" t="inlineStr">
        <is>
          <t>JÖNKÖPINGS LÄN</t>
        </is>
      </c>
      <c r="G146" t="inlineStr">
        <is>
          <t>MULLSJÖ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46295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46295</v>
      </c>
      <c r="F148" t="inlineStr">
        <is>
          <t>JÖNKÖPINGS LÄN</t>
        </is>
      </c>
      <c r="G148" t="inlineStr">
        <is>
          <t>MULLSJÖ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23128-2024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45450</v>
      </c>
      <c r="E149" s="1" t="n">
        <v>46295</v>
      </c>
      <c r="F149" t="inlineStr">
        <is>
          <t>JÖNKÖPINGS LÄN</t>
        </is>
      </c>
      <c r="G149" t="inlineStr">
        <is>
          <t>MULLSJÖ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44970</v>
      </c>
      <c r="E150" s="1" t="n">
        <v>46295</v>
      </c>
      <c r="F150" t="inlineStr">
        <is>
          <t>JÖNKÖPINGS LÄN</t>
        </is>
      </c>
      <c r="G150" t="inlineStr">
        <is>
          <t>MULLSJÖ</t>
        </is>
      </c>
      <c r="H150" t="inlineStr">
        <is>
          <t>Kommuner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  <c r="Z150">
        <f>HYPERLINK("https://klasma.github.io/Logging_0642/knärot/A 7181-2023 karta knärot.png", "A 7181-2023")</f>
        <v/>
      </c>
      <c r="AA150">
        <f>HYPERLINK("https://klasma.github.io/Logging_0642/klagomål/A 7181-2023 FSC-klagomål.docx", "A 7181-2023")</f>
        <v/>
      </c>
      <c r="AB150">
        <f>HYPERLINK("https://klasma.github.io/Logging_0642/klagomålsmail/A 7181-2023 FSC-klagomål mail.docx", "A 7181-2023")</f>
        <v/>
      </c>
      <c r="AC150">
        <f>HYPERLINK("https://klasma.github.io/Logging_0642/tillsyn/A 7181-2023 tillsynsbegäran.docx", "A 7181-2023")</f>
        <v/>
      </c>
      <c r="AD150">
        <f>HYPERLINK("https://klasma.github.io/Logging_0642/tillsynsmail/A 7181-2023 tillsynsbegäran mail.docx", "A 7181-2023")</f>
        <v/>
      </c>
    </row>
    <row r="151" ht="15" customHeight="1">
      <c r="A151" t="inlineStr">
        <is>
          <t>A 28605-2023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46295</v>
      </c>
      <c r="F151" t="inlineStr">
        <is>
          <t>JÖNKÖPINGS LÄN</t>
        </is>
      </c>
      <c r="G151" t="inlineStr">
        <is>
          <t>MULLSJÖ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71048-2021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44538</v>
      </c>
      <c r="E152" s="1" t="n">
        <v>46295</v>
      </c>
      <c r="F152" t="inlineStr">
        <is>
          <t>JÖNKÖPINGS LÄN</t>
        </is>
      </c>
      <c r="G152" t="inlineStr">
        <is>
          <t>MULLSJÖ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45244</v>
      </c>
      <c r="E153" s="1" t="n">
        <v>46295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46216</v>
      </c>
      <c r="E154" s="1" t="n">
        <v>46295</v>
      </c>
      <c r="F154" t="inlineStr">
        <is>
          <t>JÖNKÖPINGS LÄN</t>
        </is>
      </c>
      <c r="G154" t="inlineStr">
        <is>
          <t>MULLSJÖ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45455</v>
      </c>
      <c r="E155" s="1" t="n">
        <v>46295</v>
      </c>
      <c r="F155" t="inlineStr">
        <is>
          <t>JÖNKÖPINGS LÄN</t>
        </is>
      </c>
      <c r="G155" t="inlineStr">
        <is>
          <t>MULLSJÖ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46216</v>
      </c>
      <c r="E156" s="1" t="n">
        <v>46295</v>
      </c>
      <c r="F156" t="inlineStr">
        <is>
          <t>JÖNKÖPINGS LÄN</t>
        </is>
      </c>
      <c r="G156" t="inlineStr">
        <is>
          <t>MULLSJÖ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44954</v>
      </c>
      <c r="E157" s="1" t="n">
        <v>46295</v>
      </c>
      <c r="F157" t="inlineStr">
        <is>
          <t>JÖNKÖPINGS LÄN</t>
        </is>
      </c>
      <c r="G157" t="inlineStr">
        <is>
          <t>MULLSJÖ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46295</v>
      </c>
      <c r="F158" t="inlineStr">
        <is>
          <t>JÖNKÖPINGS LÄN</t>
        </is>
      </c>
      <c r="G158" t="inlineStr">
        <is>
          <t>MULLSJÖ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46260</v>
      </c>
      <c r="E159" s="1" t="n">
        <v>46295</v>
      </c>
      <c r="F159" t="inlineStr">
        <is>
          <t>JÖNKÖPINGS LÄN</t>
        </is>
      </c>
      <c r="G159" t="inlineStr">
        <is>
          <t>MULLSJÖ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46295</v>
      </c>
      <c r="F160" t="inlineStr">
        <is>
          <t>JÖNKÖPINGS LÄN</t>
        </is>
      </c>
      <c r="G160" t="inlineStr">
        <is>
          <t>MULLSJÖ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46295</v>
      </c>
      <c r="F161" t="inlineStr">
        <is>
          <t>JÖNKÖPINGS LÄN</t>
        </is>
      </c>
      <c r="G161" t="inlineStr">
        <is>
          <t>MULLSJÖ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46268</v>
      </c>
      <c r="E162" s="1" t="n">
        <v>46295</v>
      </c>
      <c r="F162" t="inlineStr">
        <is>
          <t>JÖNKÖPINGS LÄN</t>
        </is>
      </c>
      <c r="G162" t="inlineStr">
        <is>
          <t>MULLSJÖ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46295</v>
      </c>
      <c r="F163" t="inlineStr">
        <is>
          <t>JÖNKÖPINGS LÄN</t>
        </is>
      </c>
      <c r="G163" t="inlineStr">
        <is>
          <t>MULLSJÖ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45446</v>
      </c>
      <c r="E164" s="1" t="n">
        <v>46295</v>
      </c>
      <c r="F164" t="inlineStr">
        <is>
          <t>JÖNKÖPINGS LÄN</t>
        </is>
      </c>
      <c r="G164" t="inlineStr">
        <is>
          <t>MULLSJÖ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46268</v>
      </c>
      <c r="E165" s="1" t="n">
        <v>46295</v>
      </c>
      <c r="F165" t="inlineStr">
        <is>
          <t>JÖNKÖPINGS LÄN</t>
        </is>
      </c>
      <c r="G165" t="inlineStr">
        <is>
          <t>MULLSJÖ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45676</v>
      </c>
      <c r="E166" s="1" t="n">
        <v>46295</v>
      </c>
      <c r="F166" t="inlineStr">
        <is>
          <t>JÖNKÖPINGS LÄN</t>
        </is>
      </c>
      <c r="G166" t="inlineStr">
        <is>
          <t>MULLSJÖ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31984-2026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46232</v>
      </c>
      <c r="E167" s="1" t="n">
        <v>46295</v>
      </c>
      <c r="F167" t="inlineStr">
        <is>
          <t>JÖNKÖPINGS LÄN</t>
        </is>
      </c>
      <c r="G167" t="inlineStr">
        <is>
          <t>MULLSJÖ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37124-2026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46274</v>
      </c>
      <c r="E168" s="1" t="n">
        <v>46295</v>
      </c>
      <c r="F168" t="inlineStr">
        <is>
          <t>JÖNKÖPINGS LÄN</t>
        </is>
      </c>
      <c r="G168" t="inlineStr">
        <is>
          <t>MULLSJÖ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46295</v>
      </c>
      <c r="F169" t="inlineStr">
        <is>
          <t>JÖNKÖPINGS LÄN</t>
        </is>
      </c>
      <c r="G169" t="inlineStr">
        <is>
          <t>MULLSJÖ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32699-2026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46240</v>
      </c>
      <c r="E170" s="1" t="n">
        <v>46295</v>
      </c>
      <c r="F170" t="inlineStr">
        <is>
          <t>JÖNKÖPINGS LÄN</t>
        </is>
      </c>
      <c r="G170" t="inlineStr">
        <is>
          <t>MULLSJÖ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46295</v>
      </c>
      <c r="F171" t="inlineStr">
        <is>
          <t>JÖNKÖPINGS LÄN</t>
        </is>
      </c>
      <c r="G171" t="inlineStr">
        <is>
          <t>MULLSJÖ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44700</v>
      </c>
      <c r="E172" s="1" t="n">
        <v>46295</v>
      </c>
      <c r="F172" t="inlineStr">
        <is>
          <t>JÖNKÖPINGS LÄN</t>
        </is>
      </c>
      <c r="G172" t="inlineStr">
        <is>
          <t>MULLSJÖ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44952</v>
      </c>
      <c r="E173" s="1" t="n">
        <v>46295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46295</v>
      </c>
      <c r="F174" t="inlineStr">
        <is>
          <t>JÖNKÖPINGS LÄN</t>
        </is>
      </c>
      <c r="G174" t="inlineStr">
        <is>
          <t>MULLSJÖ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64387-2023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45280</v>
      </c>
      <c r="E175" s="1" t="n">
        <v>46295</v>
      </c>
      <c r="F175" t="inlineStr">
        <is>
          <t>JÖNKÖPINGS LÄN</t>
        </is>
      </c>
      <c r="G175" t="inlineStr">
        <is>
          <t>MULLSJÖ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45324</v>
      </c>
      <c r="E176" s="1" t="n">
        <v>46295</v>
      </c>
      <c r="F176" t="inlineStr">
        <is>
          <t>JÖNKÖPINGS LÄN</t>
        </is>
      </c>
      <c r="G176" t="inlineStr">
        <is>
          <t>MULLSJÖ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46295</v>
      </c>
      <c r="F177" t="inlineStr">
        <is>
          <t>JÖNKÖPINGS LÄN</t>
        </is>
      </c>
      <c r="G177" t="inlineStr">
        <is>
          <t>MULLSJÖ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46295</v>
      </c>
      <c r="F178" t="inlineStr">
        <is>
          <t>JÖNKÖPINGS LÄN</t>
        </is>
      </c>
      <c r="G178" t="inlineStr">
        <is>
          <t>MULLSJÖ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46293</v>
      </c>
      <c r="E179" s="1" t="n">
        <v>46295</v>
      </c>
      <c r="F179" t="inlineStr">
        <is>
          <t>JÖNKÖPINGS LÄN</t>
        </is>
      </c>
      <c r="G179" t="inlineStr">
        <is>
          <t>MULLSJÖ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46295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46295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46295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2026-09-30T02:01:37Z</dcterms:created>
  <dcterms:modified xmlns:dcterms="http://purl.org/dc/terms/" xmlns:xsi="http://www.w3.org/2001/XMLSchema-instance" xsi:type="dcterms:W3CDTF">2026-09-30T02:01:38Z</dcterms:modified>
</cp:coreProperties>
</file>