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46225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46225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46225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46225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46225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46225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46225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56244-2022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46225</v>
      </c>
      <c r="F17" t="inlineStr">
        <is>
          <t>JÖNKÖPINGS LÄN</t>
        </is>
      </c>
      <c r="G17" t="inlineStr">
        <is>
          <t>MULLSJÖ</t>
        </is>
      </c>
      <c r="H17" t="inlineStr">
        <is>
          <t>Kyrkan</t>
        </is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HYPERLINK("https://klasma.github.io/Logging_0642/artfynd/A 56244-2022 artfynd.xlsx", "A 56244-2022")</f>
        <v/>
      </c>
      <c r="X17">
        <f>HYPERLINK("https://klasma.github.io/Logging_0642/kartor/A 56244-2022 karta.png", "A 56244-2022")</f>
        <v/>
      </c>
      <c r="Y17">
        <f>HYPERLINK("https://klasma.github.io/Logging_0642/kartor_geotiff/A 56244-2022 georefererad karta.tif", "A 56244-2022")</f>
        <v/>
      </c>
      <c r="AA17">
        <f>HYPERLINK("https://klasma.github.io/Logging_0642/klagomål/A 56244-2022 FSC-klagomål.docx", "A 56244-2022")</f>
        <v/>
      </c>
      <c r="AB17">
        <f>HYPERLINK("https://klasma.github.io/Logging_0642/klagomålsmail/A 56244-2022 FSC-klagomål mail.docx", "A 56244-2022")</f>
        <v/>
      </c>
      <c r="AC17">
        <f>HYPERLINK("https://klasma.github.io/Logging_0642/tillsyn/A 56244-2022 tillsynsbegäran.docx", "A 56244-2022")</f>
        <v/>
      </c>
      <c r="AD17">
        <f>HYPERLINK("https://klasma.github.io/Logging_0642/tillsynsmail/A 56244-2022 tillsynsbegäran mail.docx", "A 56244-2022")</f>
        <v/>
      </c>
    </row>
    <row r="18" ht="15" customHeight="1">
      <c r="A18" t="inlineStr">
        <is>
          <t>A 1221-2026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46225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Slåtterfibbla</t>
        </is>
      </c>
      <c r="W18">
        <f>HYPERLINK("https://klasma.github.io/Logging_0642/artfynd/A 1221-2026 artfynd.xlsx", "A 1221-2026")</f>
        <v/>
      </c>
      <c r="X18">
        <f>HYPERLINK("https://klasma.github.io/Logging_0642/kartor/A 1221-2026 karta.png", "A 1221-2026")</f>
        <v/>
      </c>
      <c r="Y18">
        <f>HYPERLINK("https://klasma.github.io/Logging_0642/kartor_geotiff/A 1221-2026 georefererad karta.tif", "A 1221-2026")</f>
        <v/>
      </c>
      <c r="AA18">
        <f>HYPERLINK("https://klasma.github.io/Logging_0642/klagomål/A 1221-2026 FSC-klagomål.docx", "A 1221-2026")</f>
        <v/>
      </c>
      <c r="AB18">
        <f>HYPERLINK("https://klasma.github.io/Logging_0642/klagomålsmail/A 1221-2026 FSC-klagomål mail.docx", "A 1221-2026")</f>
        <v/>
      </c>
      <c r="AC18">
        <f>HYPERLINK("https://klasma.github.io/Logging_0642/tillsyn/A 1221-2026 tillsynsbegäran.docx", "A 1221-2026")</f>
        <v/>
      </c>
      <c r="AD18">
        <f>HYPERLINK("https://klasma.github.io/Logging_0642/tillsynsmail/A 1221-2026 tillsynsbegäran mail.docx", "A 1221-2026")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46225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46225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46225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7823-2024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45349</v>
      </c>
      <c r="E22" s="1" t="n">
        <v>46225</v>
      </c>
      <c r="F22" t="inlineStr">
        <is>
          <t>JÖNKÖPINGS LÄN</t>
        </is>
      </c>
      <c r="G22" t="inlineStr">
        <is>
          <t>MULLSJÖ</t>
        </is>
      </c>
      <c r="I22" t="n">
        <v>3.5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HYPERLINK("https://klasma.github.io/Logging_0642/artfynd/A 7823-2024 artfynd.xlsx", "A 7823-2024")</f>
        <v/>
      </c>
      <c r="X22">
        <f>HYPERLINK("https://klasma.github.io/Logging_0642/kartor/A 7823-2024 karta.png", "A 7823-2024")</f>
        <v/>
      </c>
      <c r="Y22">
        <f>HYPERLINK("https://klasma.github.io/Logging_0642/kartor_geotiff/A 7823-2024 georefererad karta.tif", "A 7823-2024")</f>
        <v/>
      </c>
      <c r="AA22">
        <f>HYPERLINK("https://klasma.github.io/Logging_0642/klagomål/A 7823-2024 FSC-klagomål.docx", "A 7823-2024")</f>
        <v/>
      </c>
      <c r="AB22">
        <f>HYPERLINK("https://klasma.github.io/Logging_0642/klagomålsmail/A 7823-2024 FSC-klagomål mail.docx", "A 7823-2024")</f>
        <v/>
      </c>
      <c r="AC22">
        <f>HYPERLINK("https://klasma.github.io/Logging_0642/tillsyn/A 7823-2024 tillsynsbegäran.docx", "A 7823-2024")</f>
        <v/>
      </c>
      <c r="AD22">
        <f>HYPERLINK("https://klasma.github.io/Logging_0642/tillsynsmail/A 7823-2024 tillsynsbegäran mail.docx", "A 7823-2024")</f>
        <v/>
      </c>
    </row>
    <row r="23" ht="15" customHeight="1">
      <c r="A23" t="inlineStr">
        <is>
          <t>A 56310-2025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45974</v>
      </c>
      <c r="E23" s="1" t="n">
        <v>46225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56310-2025 artfynd.xlsx", "A 56310-2025")</f>
        <v/>
      </c>
      <c r="X23">
        <f>HYPERLINK("https://klasma.github.io/Logging_0642/kartor/A 56310-2025 karta.png", "A 56310-2025")</f>
        <v/>
      </c>
      <c r="Y23">
        <f>HYPERLINK("https://klasma.github.io/Logging_0642/kartor_geotiff/A 56310-2025 georefererad karta.tif", "A 56310-2025")</f>
        <v/>
      </c>
      <c r="AA23">
        <f>HYPERLINK("https://klasma.github.io/Logging_0642/klagomål/A 56310-2025 FSC-klagomål.docx", "A 56310-2025")</f>
        <v/>
      </c>
      <c r="AB23">
        <f>HYPERLINK("https://klasma.github.io/Logging_0642/klagomålsmail/A 56310-2025 FSC-klagomål mail.docx", "A 56310-2025")</f>
        <v/>
      </c>
      <c r="AC23">
        <f>HYPERLINK("https://klasma.github.io/Logging_0642/tillsyn/A 56310-2025 tillsynsbegäran.docx", "A 56310-2025")</f>
        <v/>
      </c>
      <c r="AD23">
        <f>HYPERLINK("https://klasma.github.io/Logging_0642/tillsynsmail/A 56310-2025 tillsynsbegäran mail.docx", "A 56310-2025")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46225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46225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14230-2024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45393</v>
      </c>
      <c r="E26" s="1" t="n">
        <v>46225</v>
      </c>
      <c r="F26" t="inlineStr">
        <is>
          <t>JÖNKÖPINGS LÄN</t>
        </is>
      </c>
      <c r="G26" t="inlineStr">
        <is>
          <t>MULLSJÖ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Guldlockmossa</t>
        </is>
      </c>
      <c r="W26">
        <f>HYPERLINK("https://klasma.github.io/Logging_0642/artfynd/A 14230-2024 artfynd.xlsx", "A 14230-2024")</f>
        <v/>
      </c>
      <c r="X26">
        <f>HYPERLINK("https://klasma.github.io/Logging_0642/kartor/A 14230-2024 karta.png", "A 14230-2024")</f>
        <v/>
      </c>
      <c r="Y26">
        <f>HYPERLINK("https://klasma.github.io/Logging_0642/kartor_geotiff/A 14230-2024 georefererad karta.tif", "A 14230-2024")</f>
        <v/>
      </c>
      <c r="AA26">
        <f>HYPERLINK("https://klasma.github.io/Logging_0642/klagomål/A 14230-2024 FSC-klagomål.docx", "A 14230-2024")</f>
        <v/>
      </c>
      <c r="AB26">
        <f>HYPERLINK("https://klasma.github.io/Logging_0642/klagomålsmail/A 14230-2024 FSC-klagomål mail.docx", "A 14230-2024")</f>
        <v/>
      </c>
      <c r="AC26">
        <f>HYPERLINK("https://klasma.github.io/Logging_0642/tillsyn/A 14230-2024 tillsynsbegäran.docx", "A 14230-2024")</f>
        <v/>
      </c>
      <c r="AD26">
        <f>HYPERLINK("https://klasma.github.io/Logging_0642/tillsynsmail/A 14230-2024 tillsynsbegäran mail.docx", "A 14230-2024")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46225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46225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46225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46225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46225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46225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46225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46225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46225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46225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46225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46225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46225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46225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46225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46225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46225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46225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46225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46225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46225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46225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46225</v>
      </c>
      <c r="F49" t="inlineStr">
        <is>
          <t>JÖNKÖPINGS LÄN</t>
        </is>
      </c>
      <c r="G49" t="inlineStr">
        <is>
          <t>MULLSJÖ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46225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46225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46225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46225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46225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46225</v>
      </c>
      <c r="F55" t="inlineStr">
        <is>
          <t>JÖNKÖPINGS LÄN</t>
        </is>
      </c>
      <c r="G55" t="inlineStr">
        <is>
          <t>MULLSJÖ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46225</v>
      </c>
      <c r="F56" t="inlineStr">
        <is>
          <t>JÖNKÖPINGS LÄN</t>
        </is>
      </c>
      <c r="G56" t="inlineStr">
        <is>
          <t>MULLSJÖ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46225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35113-2024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45529</v>
      </c>
      <c r="E58" s="1" t="n">
        <v>46225</v>
      </c>
      <c r="F58" t="inlineStr">
        <is>
          <t>JÖNKÖPINGS LÄN</t>
        </is>
      </c>
      <c r="G58" t="inlineStr">
        <is>
          <t>MULLSJÖ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45804</v>
      </c>
      <c r="E59" s="1" t="n">
        <v>46225</v>
      </c>
      <c r="F59" t="inlineStr">
        <is>
          <t>JÖNKÖPINGS LÄN</t>
        </is>
      </c>
      <c r="G59" t="inlineStr">
        <is>
          <t>MULLSJÖ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46225</v>
      </c>
      <c r="F60" t="inlineStr">
        <is>
          <t>JÖNKÖPINGS LÄN</t>
        </is>
      </c>
      <c r="G60" t="inlineStr">
        <is>
          <t>MULLSJÖ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46225</v>
      </c>
      <c r="F61" t="inlineStr">
        <is>
          <t>JÖNKÖPINGS LÄN</t>
        </is>
      </c>
      <c r="G61" t="inlineStr">
        <is>
          <t>MULLSJÖ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46225</v>
      </c>
      <c r="F62" t="inlineStr">
        <is>
          <t>JÖNKÖPINGS LÄN</t>
        </is>
      </c>
      <c r="G62" t="inlineStr">
        <is>
          <t>MULLSJÖ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46225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46225</v>
      </c>
      <c r="F64" t="inlineStr">
        <is>
          <t>JÖNKÖPINGS LÄN</t>
        </is>
      </c>
      <c r="G64" t="inlineStr">
        <is>
          <t>MULLSJÖ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46225</v>
      </c>
      <c r="F65" t="inlineStr">
        <is>
          <t>JÖNKÖPINGS LÄN</t>
        </is>
      </c>
      <c r="G65" t="inlineStr">
        <is>
          <t>MULLSJÖ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45904</v>
      </c>
      <c r="E66" s="1" t="n">
        <v>46225</v>
      </c>
      <c r="F66" t="inlineStr">
        <is>
          <t>JÖNKÖPINGS LÄN</t>
        </is>
      </c>
      <c r="G66" t="inlineStr">
        <is>
          <t>MULLSJÖ</t>
        </is>
      </c>
      <c r="H66" t="inlineStr">
        <is>
          <t>Kyrkan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46225</v>
      </c>
      <c r="F67" t="inlineStr">
        <is>
          <t>JÖNKÖPINGS LÄN</t>
        </is>
      </c>
      <c r="G67" t="inlineStr">
        <is>
          <t>MULLSJÖ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45521</v>
      </c>
      <c r="E68" s="1" t="n">
        <v>46225</v>
      </c>
      <c r="F68" t="inlineStr">
        <is>
          <t>JÖNKÖPINGS LÄN</t>
        </is>
      </c>
      <c r="G68" t="inlineStr">
        <is>
          <t>MULLSJÖ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46080</v>
      </c>
      <c r="E69" s="1" t="n">
        <v>46225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46225</v>
      </c>
      <c r="F70" t="inlineStr">
        <is>
          <t>JÖNKÖPINGS LÄN</t>
        </is>
      </c>
      <c r="G70" t="inlineStr">
        <is>
          <t>MULLSJÖ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46225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46225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46225</v>
      </c>
      <c r="F73" t="inlineStr">
        <is>
          <t>JÖNKÖPINGS LÄN</t>
        </is>
      </c>
      <c r="G73" t="inlineStr">
        <is>
          <t>MULLSJÖ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45928</v>
      </c>
      <c r="E74" s="1" t="n">
        <v>46225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12351-2026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46088</v>
      </c>
      <c r="E75" s="1" t="n">
        <v>46225</v>
      </c>
      <c r="F75" t="inlineStr">
        <is>
          <t>JÖNKÖPINGS LÄN</t>
        </is>
      </c>
      <c r="G75" t="inlineStr">
        <is>
          <t>MULLSJÖ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46225</v>
      </c>
      <c r="F76" t="inlineStr">
        <is>
          <t>JÖNKÖPINGS LÄN</t>
        </is>
      </c>
      <c r="G76" t="inlineStr">
        <is>
          <t>MULLSJÖ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46225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46225</v>
      </c>
      <c r="F78" t="inlineStr">
        <is>
          <t>JÖNKÖPINGS LÄN</t>
        </is>
      </c>
      <c r="G78" t="inlineStr">
        <is>
          <t>MULLSJÖ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46225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46225</v>
      </c>
      <c r="F80" t="inlineStr">
        <is>
          <t>JÖNKÖPINGS LÄN</t>
        </is>
      </c>
      <c r="G80" t="inlineStr">
        <is>
          <t>MULLSJÖ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46225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46225</v>
      </c>
      <c r="F82" t="inlineStr">
        <is>
          <t>JÖNKÖPINGS LÄN</t>
        </is>
      </c>
      <c r="G82" t="inlineStr">
        <is>
          <t>MULLSJÖ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46225</v>
      </c>
      <c r="F83" t="inlineStr">
        <is>
          <t>JÖNKÖPINGS LÄN</t>
        </is>
      </c>
      <c r="G83" t="inlineStr">
        <is>
          <t>MULLSJÖ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46225</v>
      </c>
      <c r="F84" t="inlineStr">
        <is>
          <t>JÖNKÖPINGS LÄN</t>
        </is>
      </c>
      <c r="G84" t="inlineStr">
        <is>
          <t>MULLSJÖ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14226-2024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45393</v>
      </c>
      <c r="E85" s="1" t="n">
        <v>46225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46225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46225</v>
      </c>
      <c r="F87" t="inlineStr">
        <is>
          <t>JÖNKÖPINGS LÄN</t>
        </is>
      </c>
      <c r="G87" t="inlineStr">
        <is>
          <t>MULLSJÖ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18421-2026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46126</v>
      </c>
      <c r="E88" s="1" t="n">
        <v>46225</v>
      </c>
      <c r="F88" t="inlineStr">
        <is>
          <t>JÖNKÖPINGS LÄN</t>
        </is>
      </c>
      <c r="G88" t="inlineStr">
        <is>
          <t>MULLSJÖ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46225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46225</v>
      </c>
      <c r="F90" t="inlineStr">
        <is>
          <t>JÖNKÖPINGS LÄN</t>
        </is>
      </c>
      <c r="G90" t="inlineStr">
        <is>
          <t>MULLSJÖ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46225</v>
      </c>
      <c r="F91" t="inlineStr">
        <is>
          <t>JÖNKÖPINGS LÄN</t>
        </is>
      </c>
      <c r="G91" t="inlineStr">
        <is>
          <t>MULLSJÖ</t>
        </is>
      </c>
      <c r="I91" t="n">
        <v>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44670</v>
      </c>
      <c r="E92" s="1" t="n">
        <v>46225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46225</v>
      </c>
      <c r="F93" t="inlineStr">
        <is>
          <t>JÖNKÖPINGS LÄN</t>
        </is>
      </c>
      <c r="G93" t="inlineStr">
        <is>
          <t>MULLSJÖ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46225</v>
      </c>
      <c r="F94" t="inlineStr">
        <is>
          <t>JÖNKÖPINGS LÄN</t>
        </is>
      </c>
      <c r="G94" t="inlineStr">
        <is>
          <t>MULLSJÖ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62586-2025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46007</v>
      </c>
      <c r="E95" s="1" t="n">
        <v>46225</v>
      </c>
      <c r="F95" t="inlineStr">
        <is>
          <t>JÖNKÖPINGS LÄN</t>
        </is>
      </c>
      <c r="G95" t="inlineStr">
        <is>
          <t>MULLSJÖ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46225</v>
      </c>
      <c r="F96" t="inlineStr">
        <is>
          <t>JÖNKÖPINGS LÄN</t>
        </is>
      </c>
      <c r="G96" t="inlineStr">
        <is>
          <t>MULLSJÖ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46225</v>
      </c>
      <c r="F97" t="inlineStr">
        <is>
          <t>JÖNKÖPINGS LÄN</t>
        </is>
      </c>
      <c r="G97" t="inlineStr">
        <is>
          <t>MULLSJÖ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46225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45083</v>
      </c>
      <c r="E99" s="1" t="n">
        <v>46225</v>
      </c>
      <c r="F99" t="inlineStr">
        <is>
          <t>JÖNKÖPINGS LÄN</t>
        </is>
      </c>
      <c r="G99" t="inlineStr">
        <is>
          <t>MULLSJÖ</t>
        </is>
      </c>
      <c r="I99" t="n">
        <v>13.1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44707</v>
      </c>
      <c r="E100" s="1" t="n">
        <v>46225</v>
      </c>
      <c r="F100" t="inlineStr">
        <is>
          <t>JÖNKÖPINGS LÄN</t>
        </is>
      </c>
      <c r="G100" t="inlineStr">
        <is>
          <t>MULLSJÖ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46225</v>
      </c>
      <c r="F101" t="inlineStr">
        <is>
          <t>JÖNKÖPINGS LÄN</t>
        </is>
      </c>
      <c r="G101" t="inlineStr">
        <is>
          <t>MULLSJÖ</t>
        </is>
      </c>
      <c r="I101" t="n">
        <v>15.1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46225</v>
      </c>
      <c r="F102" t="inlineStr">
        <is>
          <t>JÖNKÖPINGS LÄN</t>
        </is>
      </c>
      <c r="G102" t="inlineStr">
        <is>
          <t>MULLSJÖ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12273-2023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44998</v>
      </c>
      <c r="E103" s="1" t="n">
        <v>46225</v>
      </c>
      <c r="F103" t="inlineStr">
        <is>
          <t>JÖNKÖPINGS LÄN</t>
        </is>
      </c>
      <c r="G103" t="inlineStr">
        <is>
          <t>MULLSJÖ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46225</v>
      </c>
      <c r="F104" t="inlineStr">
        <is>
          <t>JÖNKÖPINGS LÄN</t>
        </is>
      </c>
      <c r="G104" t="inlineStr">
        <is>
          <t>MULLSJÖ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46225</v>
      </c>
      <c r="F105" t="inlineStr">
        <is>
          <t>JÖNKÖPINGS LÄN</t>
        </is>
      </c>
      <c r="G105" t="inlineStr">
        <is>
          <t>MULLSJÖ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46197</v>
      </c>
      <c r="E106" s="1" t="n">
        <v>46225</v>
      </c>
      <c r="F106" t="inlineStr">
        <is>
          <t>JÖNKÖPINGS LÄN</t>
        </is>
      </c>
      <c r="G106" t="inlineStr">
        <is>
          <t>MULLSJÖ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46197</v>
      </c>
      <c r="E107" s="1" t="n">
        <v>46225</v>
      </c>
      <c r="F107" t="inlineStr">
        <is>
          <t>JÖNKÖPINGS LÄN</t>
        </is>
      </c>
      <c r="G107" t="inlineStr">
        <is>
          <t>MULLSJÖ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46225</v>
      </c>
      <c r="F108" t="inlineStr">
        <is>
          <t>JÖNKÖPINGS LÄN</t>
        </is>
      </c>
      <c r="G108" t="inlineStr">
        <is>
          <t>MULLSJÖ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46225</v>
      </c>
      <c r="F109" t="inlineStr">
        <is>
          <t>JÖNKÖPINGS LÄN</t>
        </is>
      </c>
      <c r="G109" t="inlineStr">
        <is>
          <t>MULLSJÖ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45752</v>
      </c>
      <c r="E110" s="1" t="n">
        <v>46225</v>
      </c>
      <c r="F110" t="inlineStr">
        <is>
          <t>JÖNKÖPINGS LÄN</t>
        </is>
      </c>
      <c r="G110" t="inlineStr">
        <is>
          <t>MULLSJÖ</t>
        </is>
      </c>
      <c r="I110" t="n">
        <v>9.6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45169</v>
      </c>
      <c r="E111" s="1" t="n">
        <v>46225</v>
      </c>
      <c r="F111" t="inlineStr">
        <is>
          <t>JÖNKÖPINGS LÄN</t>
        </is>
      </c>
      <c r="G111" t="inlineStr">
        <is>
          <t>MULLSJÖ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46225</v>
      </c>
      <c r="F112" t="inlineStr">
        <is>
          <t>JÖNKÖPINGS LÄN</t>
        </is>
      </c>
      <c r="G112" t="inlineStr">
        <is>
          <t>MULLSJÖ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45016</v>
      </c>
      <c r="E113" s="1" t="n">
        <v>46225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46225</v>
      </c>
      <c r="F114" t="inlineStr">
        <is>
          <t>JÖNKÖPINGS LÄN</t>
        </is>
      </c>
      <c r="G114" t="inlineStr">
        <is>
          <t>MULLSJÖ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31157-2026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46216</v>
      </c>
      <c r="E115" s="1" t="n">
        <v>46225</v>
      </c>
      <c r="F115" t="inlineStr">
        <is>
          <t>JÖNKÖPINGS LÄN</t>
        </is>
      </c>
      <c r="G115" t="inlineStr">
        <is>
          <t>MULLSJÖ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45752</v>
      </c>
      <c r="E116" s="1" t="n">
        <v>46225</v>
      </c>
      <c r="F116" t="inlineStr">
        <is>
          <t>JÖNKÖPINGS LÄN</t>
        </is>
      </c>
      <c r="G116" t="inlineStr">
        <is>
          <t>MULLSJÖ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45752</v>
      </c>
      <c r="E117" s="1" t="n">
        <v>46225</v>
      </c>
      <c r="F117" t="inlineStr">
        <is>
          <t>JÖNKÖPINGS LÄN</t>
        </is>
      </c>
      <c r="G117" t="inlineStr">
        <is>
          <t>MULLSJÖ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46225</v>
      </c>
      <c r="F118" t="inlineStr">
        <is>
          <t>JÖNKÖPINGS LÄN</t>
        </is>
      </c>
      <c r="G118" t="inlineStr">
        <is>
          <t>MULLSJÖ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46216</v>
      </c>
      <c r="E119" s="1" t="n">
        <v>46225</v>
      </c>
      <c r="F119" t="inlineStr">
        <is>
          <t>JÖNKÖPINGS LÄN</t>
        </is>
      </c>
      <c r="G119" t="inlineStr">
        <is>
          <t>MULLSJÖ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45495</v>
      </c>
      <c r="E120" s="1" t="n">
        <v>46225</v>
      </c>
      <c r="F120" t="inlineStr">
        <is>
          <t>JÖNKÖPINGS LÄN</t>
        </is>
      </c>
      <c r="G120" t="inlineStr">
        <is>
          <t>MULLSJÖ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46225</v>
      </c>
      <c r="F121" t="inlineStr">
        <is>
          <t>JÖNKÖPINGS LÄN</t>
        </is>
      </c>
      <c r="G121" t="inlineStr">
        <is>
          <t>MULLSJÖ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44954</v>
      </c>
      <c r="E122" s="1" t="n">
        <v>46225</v>
      </c>
      <c r="F122" t="inlineStr">
        <is>
          <t>JÖNKÖPINGS LÄN</t>
        </is>
      </c>
      <c r="G122" t="inlineStr">
        <is>
          <t>MULLSJÖ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44992</v>
      </c>
      <c r="E123" s="1" t="n">
        <v>46225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46225</v>
      </c>
      <c r="F124" t="inlineStr">
        <is>
          <t>JÖNKÖPINGS LÄN</t>
        </is>
      </c>
      <c r="G124" t="inlineStr">
        <is>
          <t>MULLSJÖ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46225</v>
      </c>
      <c r="F125" t="inlineStr">
        <is>
          <t>JÖNKÖPINGS LÄN</t>
        </is>
      </c>
      <c r="G125" t="inlineStr">
        <is>
          <t>MULLSJÖ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45305</v>
      </c>
      <c r="E126" s="1" t="n">
        <v>46225</v>
      </c>
      <c r="F126" t="inlineStr">
        <is>
          <t>JÖNKÖPINGS LÄN</t>
        </is>
      </c>
      <c r="G126" t="inlineStr">
        <is>
          <t>MULLSJÖ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45048</v>
      </c>
      <c r="E127" s="1" t="n">
        <v>46225</v>
      </c>
      <c r="F127" t="inlineStr">
        <is>
          <t>JÖNKÖPINGS LÄN</t>
        </is>
      </c>
      <c r="G127" t="inlineStr">
        <is>
          <t>MULLSJÖ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46225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37797-2024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45543</v>
      </c>
      <c r="E129" s="1" t="n">
        <v>46225</v>
      </c>
      <c r="F129" t="inlineStr">
        <is>
          <t>JÖNKÖPINGS LÄN</t>
        </is>
      </c>
      <c r="G129" t="inlineStr">
        <is>
          <t>MULLSJÖ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46225</v>
      </c>
      <c r="F130" t="inlineStr">
        <is>
          <t>JÖNKÖPINGS LÄN</t>
        </is>
      </c>
      <c r="G130" t="inlineStr">
        <is>
          <t>MULLSJÖ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45752</v>
      </c>
      <c r="E131" s="1" t="n">
        <v>46225</v>
      </c>
      <c r="F131" t="inlineStr">
        <is>
          <t>JÖNKÖPINGS LÄN</t>
        </is>
      </c>
      <c r="G131" t="inlineStr">
        <is>
          <t>MULLSJÖ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46225</v>
      </c>
      <c r="F132" t="inlineStr">
        <is>
          <t>JÖNKÖPINGS LÄN</t>
        </is>
      </c>
      <c r="G132" t="inlineStr">
        <is>
          <t>MULLSJÖ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45201</v>
      </c>
      <c r="E133" s="1" t="n">
        <v>46225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46225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46225</v>
      </c>
      <c r="F135" t="inlineStr">
        <is>
          <t>JÖNKÖPINGS LÄN</t>
        </is>
      </c>
      <c r="G135" t="inlineStr">
        <is>
          <t>MULLSJÖ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45682</v>
      </c>
      <c r="E136" s="1" t="n">
        <v>46225</v>
      </c>
      <c r="F136" t="inlineStr">
        <is>
          <t>JÖNKÖPINGS LÄN</t>
        </is>
      </c>
      <c r="G136" t="inlineStr">
        <is>
          <t>MULLSJÖ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46225</v>
      </c>
      <c r="F137" t="inlineStr">
        <is>
          <t>JÖNKÖPINGS LÄN</t>
        </is>
      </c>
      <c r="G137" t="inlineStr">
        <is>
          <t>MULLSJÖ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46225</v>
      </c>
      <c r="F138" t="inlineStr">
        <is>
          <t>JÖNKÖPINGS LÄN</t>
        </is>
      </c>
      <c r="G138" t="inlineStr">
        <is>
          <t>MULLSJÖ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46225</v>
      </c>
      <c r="F139" t="inlineStr">
        <is>
          <t>JÖNKÖPINGS LÄN</t>
        </is>
      </c>
      <c r="G139" t="inlineStr">
        <is>
          <t>MULLSJÖ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46225</v>
      </c>
      <c r="F140" t="inlineStr">
        <is>
          <t>JÖNKÖPINGS LÄN</t>
        </is>
      </c>
      <c r="G140" t="inlineStr">
        <is>
          <t>MULLSJÖ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45214</v>
      </c>
      <c r="E141" s="1" t="n">
        <v>46225</v>
      </c>
      <c r="F141" t="inlineStr">
        <is>
          <t>JÖNKÖPINGS LÄN</t>
        </is>
      </c>
      <c r="G141" t="inlineStr">
        <is>
          <t>MULLSJÖ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46225</v>
      </c>
      <c r="F142" t="inlineStr">
        <is>
          <t>JÖNKÖPINGS LÄN</t>
        </is>
      </c>
      <c r="G142" t="inlineStr">
        <is>
          <t>MULLSJÖ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44670</v>
      </c>
      <c r="E143" s="1" t="n">
        <v>46225</v>
      </c>
      <c r="F143" t="inlineStr">
        <is>
          <t>JÖNKÖPINGS LÄN</t>
        </is>
      </c>
      <c r="G143" t="inlineStr">
        <is>
          <t>MULLSJÖ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46225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46225</v>
      </c>
      <c r="F145" t="inlineStr">
        <is>
          <t>JÖNKÖPINGS LÄN</t>
        </is>
      </c>
      <c r="G145" t="inlineStr">
        <is>
          <t>MULLSJÖ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44796</v>
      </c>
      <c r="E146" s="1" t="n">
        <v>46225</v>
      </c>
      <c r="F146" t="inlineStr">
        <is>
          <t>JÖNKÖPINGS LÄN</t>
        </is>
      </c>
      <c r="G146" t="inlineStr">
        <is>
          <t>MULLSJÖ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46225</v>
      </c>
      <c r="F147" t="inlineStr">
        <is>
          <t>JÖNKÖPINGS LÄN</t>
        </is>
      </c>
      <c r="G147" t="inlineStr">
        <is>
          <t>MULLSJÖ</t>
        </is>
      </c>
      <c r="H147" t="inlineStr">
        <is>
          <t>Kyrkan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46225</v>
      </c>
      <c r="F148" t="inlineStr">
        <is>
          <t>JÖNKÖPINGS LÄN</t>
        </is>
      </c>
      <c r="G148" t="inlineStr">
        <is>
          <t>MULLSJÖ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46225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46225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46225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46225</v>
      </c>
      <c r="F152" t="inlineStr">
        <is>
          <t>JÖNKÖPINGS LÄN</t>
        </is>
      </c>
      <c r="G152" t="inlineStr">
        <is>
          <t>MULLSJÖ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46225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46225</v>
      </c>
      <c r="F154" t="inlineStr">
        <is>
          <t>JÖNKÖPINGS LÄN</t>
        </is>
      </c>
      <c r="G154" t="inlineStr">
        <is>
          <t>MULLSJÖ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46225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46225</v>
      </c>
      <c r="F156" t="inlineStr">
        <is>
          <t>JÖNKÖPINGS LÄN</t>
        </is>
      </c>
      <c r="G156" t="inlineStr">
        <is>
          <t>MULLSJÖ</t>
        </is>
      </c>
      <c r="H156" t="inlineStr">
        <is>
          <t>Kommuner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HYPERLINK("https://klasma.github.io/Logging_0642/knärot/A 7181-2023 karta knärot.png", "A 7181-2023")</f>
        <v/>
      </c>
      <c r="AA156">
        <f>HYPERLINK("https://klasma.github.io/Logging_0642/klagomål/A 7181-2023 FSC-klagomål.docx", "A 7181-2023")</f>
        <v/>
      </c>
      <c r="AB156">
        <f>HYPERLINK("https://klasma.github.io/Logging_0642/klagomålsmail/A 7181-2023 FSC-klagomål mail.docx", "A 7181-2023")</f>
        <v/>
      </c>
      <c r="AC156">
        <f>HYPERLINK("https://klasma.github.io/Logging_0642/tillsyn/A 7181-2023 tillsynsbegäran.docx", "A 7181-2023")</f>
        <v/>
      </c>
      <c r="AD156">
        <f>HYPERLINK("https://klasma.github.io/Logging_0642/tillsynsmail/A 7181-2023 tillsynsbegäran mail.docx", "A 7181-2023")</f>
        <v/>
      </c>
    </row>
    <row r="157" ht="15" customHeight="1">
      <c r="A157" t="inlineStr">
        <is>
          <t>A 28605-2023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46225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71048-2021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46225</v>
      </c>
      <c r="F158" t="inlineStr">
        <is>
          <t>JÖNKÖPINGS LÄN</t>
        </is>
      </c>
      <c r="G158" t="inlineStr">
        <is>
          <t>MULLSJÖ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45244</v>
      </c>
      <c r="E159" s="1" t="n">
        <v>46225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45455</v>
      </c>
      <c r="E160" s="1" t="n">
        <v>46225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44954</v>
      </c>
      <c r="E161" s="1" t="n">
        <v>46225</v>
      </c>
      <c r="F161" t="inlineStr">
        <is>
          <t>JÖNKÖPINGS LÄN</t>
        </is>
      </c>
      <c r="G161" t="inlineStr">
        <is>
          <t>MULLSJÖ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46225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46225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46225</v>
      </c>
      <c r="F164" t="inlineStr">
        <is>
          <t>JÖNKÖPINGS LÄN</t>
        </is>
      </c>
      <c r="G164" t="inlineStr">
        <is>
          <t>MULLSJÖ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46225</v>
      </c>
      <c r="F165" t="inlineStr">
        <is>
          <t>JÖNKÖPINGS LÄN</t>
        </is>
      </c>
      <c r="G165" t="inlineStr">
        <is>
          <t>MULLSJÖ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45676</v>
      </c>
      <c r="E166" s="1" t="n">
        <v>46225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46225</v>
      </c>
      <c r="F167" t="inlineStr">
        <is>
          <t>JÖNKÖPINGS LÄN</t>
        </is>
      </c>
      <c r="G167" t="inlineStr">
        <is>
          <t>MULLSJÖ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46225</v>
      </c>
      <c r="F168" t="inlineStr">
        <is>
          <t>JÖNKÖPINGS LÄN</t>
        </is>
      </c>
      <c r="G168" t="inlineStr">
        <is>
          <t>MULLSJÖ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46225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46225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46225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46225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46225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46225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46225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46225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46225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46225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46225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46225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46225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2026-07-22T01:35:43Z</dcterms:created>
  <dcterms:modified xmlns:dcterms="http://purl.org/dc/terms/" xmlns:xsi="http://www.w3.org/2001/XMLSchema-instance" xsi:type="dcterms:W3CDTF">2026-07-22T01:35:43Z</dcterms:modified>
</cp:coreProperties>
</file>