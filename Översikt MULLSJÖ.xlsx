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46061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46061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46061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46061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46061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46061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46061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46061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46061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46061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46061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46061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46061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46061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46061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46061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46061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46061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46061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46061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46061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46061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46061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46061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46061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46061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46061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46061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46061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46061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46061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46061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46061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46061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46061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46061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46061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46061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46061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46061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46061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46061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46061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46061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46061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46061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46061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46061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21687-2022</t>
        </is>
      </c>
      <c r="B50" s="1" t="n">
        <v>44707</v>
      </c>
      <c r="C50" s="1" t="n">
        <v>46061</v>
      </c>
      <c r="D50" t="inlineStr">
        <is>
          <t>JÖNKÖPINGS LÄN</t>
        </is>
      </c>
      <c r="E50" t="inlineStr">
        <is>
          <t>MULLSJÖ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46061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46061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46061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46061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49734-2024</t>
        </is>
      </c>
      <c r="B55" s="1" t="n">
        <v>45596.84884259259</v>
      </c>
      <c r="C55" s="1" t="n">
        <v>46061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46061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39988-2024</t>
        </is>
      </c>
      <c r="B57" s="1" t="n">
        <v>45553.62432870371</v>
      </c>
      <c r="C57" s="1" t="n">
        <v>46061</v>
      </c>
      <c r="D57" t="inlineStr">
        <is>
          <t>JÖNKÖPINGS LÄN</t>
        </is>
      </c>
      <c r="E57" t="inlineStr">
        <is>
          <t>MULLSJÖ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24566-2023</t>
        </is>
      </c>
      <c r="B58" s="1" t="n">
        <v>45083.51130787037</v>
      </c>
      <c r="C58" s="1" t="n">
        <v>46061</v>
      </c>
      <c r="D58" t="inlineStr">
        <is>
          <t>JÖNKÖPINGS LÄN</t>
        </is>
      </c>
      <c r="E58" t="inlineStr">
        <is>
          <t>MULLSJÖ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59503-2024</t>
        </is>
      </c>
      <c r="B59" s="1" t="n">
        <v>45638.55125</v>
      </c>
      <c r="C59" s="1" t="n">
        <v>46061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24440-2025</t>
        </is>
      </c>
      <c r="B60" s="1" t="n">
        <v>45797.82753472222</v>
      </c>
      <c r="C60" s="1" t="n">
        <v>46061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12423-2025</t>
        </is>
      </c>
      <c r="B61" s="1" t="n">
        <v>45730.45483796296</v>
      </c>
      <c r="C61" s="1" t="n">
        <v>46061</v>
      </c>
      <c r="D61" t="inlineStr">
        <is>
          <t>JÖNKÖPINGS LÄN</t>
        </is>
      </c>
      <c r="E61" t="inlineStr">
        <is>
          <t>MULLSJÖ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14033-2025</t>
        </is>
      </c>
      <c r="B62" s="1" t="n">
        <v>45740.36262731482</v>
      </c>
      <c r="C62" s="1" t="n">
        <v>46061</v>
      </c>
      <c r="D62" t="inlineStr">
        <is>
          <t>JÖNKÖPINGS LÄN</t>
        </is>
      </c>
      <c r="E62" t="inlineStr">
        <is>
          <t>MULLSJÖ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24439-2025</t>
        </is>
      </c>
      <c r="B63" s="1" t="n">
        <v>45797.82457175926</v>
      </c>
      <c r="C63" s="1" t="n">
        <v>46061</v>
      </c>
      <c r="D63" t="inlineStr">
        <is>
          <t>JÖNKÖPINGS LÄN</t>
        </is>
      </c>
      <c r="E63" t="inlineStr">
        <is>
          <t>MULLSJÖ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6690-2023</t>
        </is>
      </c>
      <c r="B64" s="1" t="n">
        <v>44966</v>
      </c>
      <c r="C64" s="1" t="n">
        <v>46061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14029-2025</t>
        </is>
      </c>
      <c r="B65" s="1" t="n">
        <v>45740.35556712963</v>
      </c>
      <c r="C65" s="1" t="n">
        <v>46061</v>
      </c>
      <c r="D65" t="inlineStr">
        <is>
          <t>JÖNKÖPINGS LÄN</t>
        </is>
      </c>
      <c r="E65" t="inlineStr">
        <is>
          <t>MULLSJÖ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16821-2025</t>
        </is>
      </c>
      <c r="B66" s="1" t="n">
        <v>45754.64318287037</v>
      </c>
      <c r="C66" s="1" t="n">
        <v>46061</v>
      </c>
      <c r="D66" t="inlineStr">
        <is>
          <t>JÖNKÖPINGS LÄN</t>
        </is>
      </c>
      <c r="E66" t="inlineStr">
        <is>
          <t>MULLSJÖ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40157-2023</t>
        </is>
      </c>
      <c r="B67" s="1" t="n">
        <v>45169.36275462963</v>
      </c>
      <c r="C67" s="1" t="n">
        <v>46061</v>
      </c>
      <c r="D67" t="inlineStr">
        <is>
          <t>JÖNKÖPINGS LÄN</t>
        </is>
      </c>
      <c r="E67" t="inlineStr">
        <is>
          <t>MULLSJÖ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35113-2024</t>
        </is>
      </c>
      <c r="B68" s="1" t="n">
        <v>45529.83986111111</v>
      </c>
      <c r="C68" s="1" t="n">
        <v>46061</v>
      </c>
      <c r="D68" t="inlineStr">
        <is>
          <t>JÖNKÖPINGS LÄN</t>
        </is>
      </c>
      <c r="E68" t="inlineStr">
        <is>
          <t>MULLSJÖ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7817-2024</t>
        </is>
      </c>
      <c r="B69" s="1" t="n">
        <v>45349</v>
      </c>
      <c r="C69" s="1" t="n">
        <v>46061</v>
      </c>
      <c r="D69" t="inlineStr">
        <is>
          <t>JÖNKÖPINGS LÄN</t>
        </is>
      </c>
      <c r="E69" t="inlineStr">
        <is>
          <t>MULLSJÖ</t>
        </is>
      </c>
      <c r="G69" t="n">
        <v>8.9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25863-2025</t>
        </is>
      </c>
      <c r="B70" s="1" t="n">
        <v>45804.47696759259</v>
      </c>
      <c r="C70" s="1" t="n">
        <v>46061</v>
      </c>
      <c r="D70" t="inlineStr">
        <is>
          <t>JÖNKÖPINGS LÄN</t>
        </is>
      </c>
      <c r="E70" t="inlineStr">
        <is>
          <t>MULLSJÖ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16467-2025</t>
        </is>
      </c>
      <c r="B71" s="1" t="n">
        <v>45751.54304398148</v>
      </c>
      <c r="C71" s="1" t="n">
        <v>46061</v>
      </c>
      <c r="D71" t="inlineStr">
        <is>
          <t>JÖNKÖPINGS LÄN</t>
        </is>
      </c>
      <c r="E71" t="inlineStr">
        <is>
          <t>MULLSJÖ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26397-2025</t>
        </is>
      </c>
      <c r="B72" s="1" t="n">
        <v>45807</v>
      </c>
      <c r="C72" s="1" t="n">
        <v>46061</v>
      </c>
      <c r="D72" t="inlineStr">
        <is>
          <t>JÖNKÖPINGS LÄN</t>
        </is>
      </c>
      <c r="E72" t="inlineStr">
        <is>
          <t>MULLSJÖ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16813-2025</t>
        </is>
      </c>
      <c r="B73" s="1" t="n">
        <v>45754.63344907408</v>
      </c>
      <c r="C73" s="1" t="n">
        <v>46061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4438-2025</t>
        </is>
      </c>
      <c r="B74" s="1" t="n">
        <v>45686.51674768519</v>
      </c>
      <c r="C74" s="1" t="n">
        <v>46061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39590-2025</t>
        </is>
      </c>
      <c r="B75" s="1" t="n">
        <v>45890.52939814814</v>
      </c>
      <c r="C75" s="1" t="n">
        <v>46061</v>
      </c>
      <c r="D75" t="inlineStr">
        <is>
          <t>JÖNKÖPINGS LÄN</t>
        </is>
      </c>
      <c r="E75" t="inlineStr">
        <is>
          <t>MULLSJÖ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27414-2025</t>
        </is>
      </c>
      <c r="B76" s="1" t="n">
        <v>45812.84578703704</v>
      </c>
      <c r="C76" s="1" t="n">
        <v>46061</v>
      </c>
      <c r="D76" t="inlineStr">
        <is>
          <t>JÖNKÖPINGS LÄN</t>
        </is>
      </c>
      <c r="E76" t="inlineStr">
        <is>
          <t>MULLSJÖ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27413-2025</t>
        </is>
      </c>
      <c r="B77" s="1" t="n">
        <v>45812.84489583333</v>
      </c>
      <c r="C77" s="1" t="n">
        <v>46061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11227-2025</t>
        </is>
      </c>
      <c r="B78" s="1" t="n">
        <v>45726.34702546296</v>
      </c>
      <c r="C78" s="1" t="n">
        <v>46061</v>
      </c>
      <c r="D78" t="inlineStr">
        <is>
          <t>JÖNKÖPINGS LÄN</t>
        </is>
      </c>
      <c r="E78" t="inlineStr">
        <is>
          <t>MULLSJÖ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30641-2024</t>
        </is>
      </c>
      <c r="B79" s="1" t="n">
        <v>45495.57349537037</v>
      </c>
      <c r="C79" s="1" t="n">
        <v>46061</v>
      </c>
      <c r="D79" t="inlineStr">
        <is>
          <t>JÖNKÖPINGS LÄN</t>
        </is>
      </c>
      <c r="E79" t="inlineStr">
        <is>
          <t>MULLSJÖ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27549-2022</t>
        </is>
      </c>
      <c r="B80" s="1" t="n">
        <v>44742.8079050926</v>
      </c>
      <c r="C80" s="1" t="n">
        <v>46061</v>
      </c>
      <c r="D80" t="inlineStr">
        <is>
          <t>JÖNKÖPINGS LÄN</t>
        </is>
      </c>
      <c r="E80" t="inlineStr">
        <is>
          <t>MULLSJÖ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16569-2025</t>
        </is>
      </c>
      <c r="B81" s="1" t="n">
        <v>45752.46914351852</v>
      </c>
      <c r="C81" s="1" t="n">
        <v>46061</v>
      </c>
      <c r="D81" t="inlineStr">
        <is>
          <t>JÖNKÖPINGS LÄN</t>
        </is>
      </c>
      <c r="E81" t="inlineStr">
        <is>
          <t>MULLSJÖ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28940-2025</t>
        </is>
      </c>
      <c r="B82" s="1" t="n">
        <v>45820</v>
      </c>
      <c r="C82" s="1" t="n">
        <v>46061</v>
      </c>
      <c r="D82" t="inlineStr">
        <is>
          <t>JÖNKÖPINGS LÄN</t>
        </is>
      </c>
      <c r="E82" t="inlineStr">
        <is>
          <t>MULLSJÖ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28941-2025</t>
        </is>
      </c>
      <c r="B83" s="1" t="n">
        <v>45820</v>
      </c>
      <c r="C83" s="1" t="n">
        <v>46061</v>
      </c>
      <c r="D83" t="inlineStr">
        <is>
          <t>JÖNKÖPINGS LÄN</t>
        </is>
      </c>
      <c r="E83" t="inlineStr">
        <is>
          <t>MULLSJÖ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28942-2025</t>
        </is>
      </c>
      <c r="B84" s="1" t="n">
        <v>45820</v>
      </c>
      <c r="C84" s="1" t="n">
        <v>46061</v>
      </c>
      <c r="D84" t="inlineStr">
        <is>
          <t>JÖNKÖPINGS LÄN</t>
        </is>
      </c>
      <c r="E84" t="inlineStr">
        <is>
          <t>MULLSJÖ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5832-2025</t>
        </is>
      </c>
      <c r="B85" s="1" t="n">
        <v>45694.84364583333</v>
      </c>
      <c r="C85" s="1" t="n">
        <v>46061</v>
      </c>
      <c r="D85" t="inlineStr">
        <is>
          <t>JÖNKÖPINGS LÄN</t>
        </is>
      </c>
      <c r="E85" t="inlineStr">
        <is>
          <t>MULLSJÖ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7278-2025</t>
        </is>
      </c>
      <c r="B86" s="1" t="n">
        <v>45702.63168981481</v>
      </c>
      <c r="C86" s="1" t="n">
        <v>46061</v>
      </c>
      <c r="D86" t="inlineStr">
        <is>
          <t>JÖNKÖPINGS LÄN</t>
        </is>
      </c>
      <c r="E86" t="inlineStr">
        <is>
          <t>MULLSJÖ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42155-2025</t>
        </is>
      </c>
      <c r="B87" s="1" t="n">
        <v>45904.40079861111</v>
      </c>
      <c r="C87" s="1" t="n">
        <v>46061</v>
      </c>
      <c r="D87" t="inlineStr">
        <is>
          <t>JÖNKÖPINGS LÄN</t>
        </is>
      </c>
      <c r="E87" t="inlineStr">
        <is>
          <t>MULLSJÖ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46061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19107-2023</t>
        </is>
      </c>
      <c r="B89" s="1" t="n">
        <v>45048.45601851852</v>
      </c>
      <c r="C89" s="1" t="n">
        <v>46061</v>
      </c>
      <c r="D89" t="inlineStr">
        <is>
          <t>JÖNKÖPINGS LÄN</t>
        </is>
      </c>
      <c r="E89" t="inlineStr">
        <is>
          <t>MULLSJÖ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6196-2023</t>
        </is>
      </c>
      <c r="B90" s="1" t="n">
        <v>44964.73979166667</v>
      </c>
      <c r="C90" s="1" t="n">
        <v>46061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6208-2023</t>
        </is>
      </c>
      <c r="B91" s="1" t="n">
        <v>44964.8028587963</v>
      </c>
      <c r="C91" s="1" t="n">
        <v>46061</v>
      </c>
      <c r="D91" t="inlineStr">
        <is>
          <t>JÖNKÖPINGS LÄN</t>
        </is>
      </c>
      <c r="E91" t="inlineStr">
        <is>
          <t>MULLSJÖ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58378-2024</t>
        </is>
      </c>
      <c r="B92" s="1" t="n">
        <v>45632.81232638889</v>
      </c>
      <c r="C92" s="1" t="n">
        <v>46061</v>
      </c>
      <c r="D92" t="inlineStr">
        <is>
          <t>JÖNKÖPINGS LÄN</t>
        </is>
      </c>
      <c r="E92" t="inlineStr">
        <is>
          <t>MULLSJÖ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32099-2025</t>
        </is>
      </c>
      <c r="B93" s="1" t="n">
        <v>45835.46706018518</v>
      </c>
      <c r="C93" s="1" t="n">
        <v>46061</v>
      </c>
      <c r="D93" t="inlineStr">
        <is>
          <t>JÖNKÖPINGS LÄN</t>
        </is>
      </c>
      <c r="E93" t="inlineStr">
        <is>
          <t>MULLSJÖ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46536-2025</t>
        </is>
      </c>
      <c r="B94" s="1" t="n">
        <v>45926.34168981481</v>
      </c>
      <c r="C94" s="1" t="n">
        <v>46061</v>
      </c>
      <c r="D94" t="inlineStr">
        <is>
          <t>JÖNKÖPINGS LÄN</t>
        </is>
      </c>
      <c r="E94" t="inlineStr">
        <is>
          <t>MULLSJÖ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46539-2025</t>
        </is>
      </c>
      <c r="B95" s="1" t="n">
        <v>45926.34392361111</v>
      </c>
      <c r="C95" s="1" t="n">
        <v>46061</v>
      </c>
      <c r="D95" t="inlineStr">
        <is>
          <t>JÖNKÖPINGS LÄN</t>
        </is>
      </c>
      <c r="E95" t="inlineStr">
        <is>
          <t>MULLSJÖ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46533-2025</t>
        </is>
      </c>
      <c r="B96" s="1" t="n">
        <v>45926.34030092593</v>
      </c>
      <c r="C96" s="1" t="n">
        <v>46061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49733-2024</t>
        </is>
      </c>
      <c r="B97" s="1" t="n">
        <v>45596.84603009259</v>
      </c>
      <c r="C97" s="1" t="n">
        <v>46061</v>
      </c>
      <c r="D97" t="inlineStr">
        <is>
          <t>JÖNKÖPINGS LÄN</t>
        </is>
      </c>
      <c r="E97" t="inlineStr">
        <is>
          <t>MULLSJÖ</t>
        </is>
      </c>
      <c r="G97" t="n">
        <v>15.1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46848-2025</t>
        </is>
      </c>
      <c r="B98" s="1" t="n">
        <v>45928.71738425926</v>
      </c>
      <c r="C98" s="1" t="n">
        <v>46061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39990-2024</t>
        </is>
      </c>
      <c r="B99" s="1" t="n">
        <v>45553.62622685185</v>
      </c>
      <c r="C99" s="1" t="n">
        <v>46061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14226-2024</t>
        </is>
      </c>
      <c r="B100" s="1" t="n">
        <v>45393</v>
      </c>
      <c r="C100" s="1" t="n">
        <v>46061</v>
      </c>
      <c r="D100" t="inlineStr">
        <is>
          <t>JÖNKÖPINGS LÄN</t>
        </is>
      </c>
      <c r="E100" t="inlineStr">
        <is>
          <t>MULLSJÖ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55293-2024</t>
        </is>
      </c>
      <c r="B101" s="1" t="n">
        <v>45621</v>
      </c>
      <c r="C101" s="1" t="n">
        <v>46061</v>
      </c>
      <c r="D101" t="inlineStr">
        <is>
          <t>JÖNKÖPINGS LÄN</t>
        </is>
      </c>
      <c r="E101" t="inlineStr">
        <is>
          <t>MULLSJÖ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55295-2024</t>
        </is>
      </c>
      <c r="B102" s="1" t="n">
        <v>45621</v>
      </c>
      <c r="C102" s="1" t="n">
        <v>46061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55296-2024</t>
        </is>
      </c>
      <c r="B103" s="1" t="n">
        <v>45621</v>
      </c>
      <c r="C103" s="1" t="n">
        <v>46061</v>
      </c>
      <c r="D103" t="inlineStr">
        <is>
          <t>JÖNKÖPINGS LÄN</t>
        </is>
      </c>
      <c r="E103" t="inlineStr">
        <is>
          <t>MULLSJÖ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32856-2025</t>
        </is>
      </c>
      <c r="B104" s="1" t="n">
        <v>45839.57771990741</v>
      </c>
      <c r="C104" s="1" t="n">
        <v>46061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46061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46061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57500-2022</t>
        </is>
      </c>
      <c r="B107" s="1" t="n">
        <v>44896.63857638889</v>
      </c>
      <c r="C107" s="1" t="n">
        <v>46061</v>
      </c>
      <c r="D107" t="inlineStr">
        <is>
          <t>JÖNKÖPINGS LÄN</t>
        </is>
      </c>
      <c r="E107" t="inlineStr">
        <is>
          <t>MULLSJÖ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46061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2642-2025</t>
        </is>
      </c>
      <c r="B109" s="1" t="n">
        <v>45676.46021990741</v>
      </c>
      <c r="C109" s="1" t="n">
        <v>46061</v>
      </c>
      <c r="D109" t="inlineStr">
        <is>
          <t>JÖNKÖPINGS LÄN</t>
        </is>
      </c>
      <c r="E109" t="inlineStr">
        <is>
          <t>MULLSJÖ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49024-2025</t>
        </is>
      </c>
      <c r="B110" s="1" t="n">
        <v>45937.61747685185</v>
      </c>
      <c r="C110" s="1" t="n">
        <v>46061</v>
      </c>
      <c r="D110" t="inlineStr">
        <is>
          <t>JÖNKÖPINGS LÄN</t>
        </is>
      </c>
      <c r="E110" t="inlineStr">
        <is>
          <t>MULLSJÖ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49025-2025</t>
        </is>
      </c>
      <c r="B111" s="1" t="n">
        <v>45937.61915509259</v>
      </c>
      <c r="C111" s="1" t="n">
        <v>46061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20671-2022</t>
        </is>
      </c>
      <c r="B112" s="1" t="n">
        <v>44700.65571759259</v>
      </c>
      <c r="C112" s="1" t="n">
        <v>46061</v>
      </c>
      <c r="D112" t="inlineStr">
        <is>
          <t>JÖNKÖPINGS LÄN</t>
        </is>
      </c>
      <c r="E112" t="inlineStr">
        <is>
          <t>MULLSJÖ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46061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6222-2024</t>
        </is>
      </c>
      <c r="B114" s="1" t="n">
        <v>45337.64701388889</v>
      </c>
      <c r="C114" s="1" t="n">
        <v>46061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7821-2024</t>
        </is>
      </c>
      <c r="B115" s="1" t="n">
        <v>45349</v>
      </c>
      <c r="C115" s="1" t="n">
        <v>46061</v>
      </c>
      <c r="D115" t="inlineStr">
        <is>
          <t>JÖNKÖPINGS LÄN</t>
        </is>
      </c>
      <c r="E115" t="inlineStr">
        <is>
          <t>MULLSJÖ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7823-2024</t>
        </is>
      </c>
      <c r="B116" s="1" t="n">
        <v>45349</v>
      </c>
      <c r="C116" s="1" t="n">
        <v>46061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22270-2024</t>
        </is>
      </c>
      <c r="B117" s="1" t="n">
        <v>45446</v>
      </c>
      <c r="C117" s="1" t="n">
        <v>46061</v>
      </c>
      <c r="D117" t="inlineStr">
        <is>
          <t>JÖNKÖPINGS LÄN</t>
        </is>
      </c>
      <c r="E117" t="inlineStr">
        <is>
          <t>MULLSJÖ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52321-2025</t>
        </is>
      </c>
      <c r="B118" s="1" t="n">
        <v>45953.66415509259</v>
      </c>
      <c r="C118" s="1" t="n">
        <v>46061</v>
      </c>
      <c r="D118" t="inlineStr">
        <is>
          <t>JÖNKÖPINGS LÄN</t>
        </is>
      </c>
      <c r="E118" t="inlineStr">
        <is>
          <t>MULLSJÖ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6194-2023</t>
        </is>
      </c>
      <c r="B119" s="1" t="n">
        <v>44964</v>
      </c>
      <c r="C119" s="1" t="n">
        <v>46061</v>
      </c>
      <c r="D119" t="inlineStr">
        <is>
          <t>JÖNKÖPINGS LÄN</t>
        </is>
      </c>
      <c r="E119" t="inlineStr">
        <is>
          <t>MULLSJÖ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6214-2023</t>
        </is>
      </c>
      <c r="B120" s="1" t="n">
        <v>44964.81380787037</v>
      </c>
      <c r="C120" s="1" t="n">
        <v>46061</v>
      </c>
      <c r="D120" t="inlineStr">
        <is>
          <t>JÖNKÖPINGS LÄN</t>
        </is>
      </c>
      <c r="E120" t="inlineStr">
        <is>
          <t>MULLSJÖ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49925-2023</t>
        </is>
      </c>
      <c r="B121" s="1" t="n">
        <v>45214.86449074074</v>
      </c>
      <c r="C121" s="1" t="n">
        <v>46061</v>
      </c>
      <c r="D121" t="inlineStr">
        <is>
          <t>JÖNKÖPINGS LÄN</t>
        </is>
      </c>
      <c r="E121" t="inlineStr">
        <is>
          <t>MULLSJÖ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53538-2025</t>
        </is>
      </c>
      <c r="B122" s="1" t="n">
        <v>45959</v>
      </c>
      <c r="C122" s="1" t="n">
        <v>46061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37131-2025</t>
        </is>
      </c>
      <c r="B123" s="1" t="n">
        <v>45875.54335648148</v>
      </c>
      <c r="C123" s="1" t="n">
        <v>46061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37133-2025</t>
        </is>
      </c>
      <c r="B124" s="1" t="n">
        <v>45875.54409722222</v>
      </c>
      <c r="C124" s="1" t="n">
        <v>46061</v>
      </c>
      <c r="D124" t="inlineStr">
        <is>
          <t>JÖNKÖPINGS LÄN</t>
        </is>
      </c>
      <c r="E124" t="inlineStr">
        <is>
          <t>MULLSJÖ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37427-2025</t>
        </is>
      </c>
      <c r="B125" s="1" t="n">
        <v>45877.49123842592</v>
      </c>
      <c r="C125" s="1" t="n">
        <v>46061</v>
      </c>
      <c r="D125" t="inlineStr">
        <is>
          <t>JÖNKÖPINGS LÄN</t>
        </is>
      </c>
      <c r="E125" t="inlineStr">
        <is>
          <t>MULLSJÖ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28605-2023</t>
        </is>
      </c>
      <c r="B126" s="1" t="n">
        <v>45103.5830787037</v>
      </c>
      <c r="C126" s="1" t="n">
        <v>46061</v>
      </c>
      <c r="D126" t="inlineStr">
        <is>
          <t>JÖNKÖPINGS LÄN</t>
        </is>
      </c>
      <c r="E126" t="inlineStr">
        <is>
          <t>MULLSJÖ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37424-2025</t>
        </is>
      </c>
      <c r="B127" s="1" t="n">
        <v>45877.4903125</v>
      </c>
      <c r="C127" s="1" t="n">
        <v>46061</v>
      </c>
      <c r="D127" t="inlineStr">
        <is>
          <t>JÖNKÖPINGS LÄN</t>
        </is>
      </c>
      <c r="E127" t="inlineStr">
        <is>
          <t>MULLSJÖ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35244-2023</t>
        </is>
      </c>
      <c r="B128" s="1" t="n">
        <v>45145.88350694445</v>
      </c>
      <c r="C128" s="1" t="n">
        <v>46061</v>
      </c>
      <c r="D128" t="inlineStr">
        <is>
          <t>JÖNKÖPINGS LÄN</t>
        </is>
      </c>
      <c r="E128" t="inlineStr">
        <is>
          <t>MULLSJÖ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17007-2025</t>
        </is>
      </c>
      <c r="B129" s="1" t="n">
        <v>45755.54241898148</v>
      </c>
      <c r="C129" s="1" t="n">
        <v>46061</v>
      </c>
      <c r="D129" t="inlineStr">
        <is>
          <t>JÖNKÖPINGS LÄN</t>
        </is>
      </c>
      <c r="E129" t="inlineStr">
        <is>
          <t>MULLSJÖ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17011-2025</t>
        </is>
      </c>
      <c r="B130" s="1" t="n">
        <v>45755.54761574074</v>
      </c>
      <c r="C130" s="1" t="n">
        <v>46061</v>
      </c>
      <c r="D130" t="inlineStr">
        <is>
          <t>JÖNKÖPINGS LÄN</t>
        </is>
      </c>
      <c r="E130" t="inlineStr">
        <is>
          <t>MULLSJÖ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46061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46061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46061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55693-2025</t>
        </is>
      </c>
      <c r="B134" s="1" t="n">
        <v>45972.43956018519</v>
      </c>
      <c r="C134" s="1" t="n">
        <v>46061</v>
      </c>
      <c r="D134" t="inlineStr">
        <is>
          <t>JÖNKÖPINGS LÄN</t>
        </is>
      </c>
      <c r="E134" t="inlineStr">
        <is>
          <t>MULLSJÖ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56310-2025</t>
        </is>
      </c>
      <c r="B135" s="1" t="n">
        <v>45974.62328703704</v>
      </c>
      <c r="C135" s="1" t="n">
        <v>46061</v>
      </c>
      <c r="D135" t="inlineStr">
        <is>
          <t>JÖNKÖPINGS LÄN</t>
        </is>
      </c>
      <c r="E135" t="inlineStr">
        <is>
          <t>MULLSJÖ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46901-2023</t>
        </is>
      </c>
      <c r="B136" s="1" t="n">
        <v>45201</v>
      </c>
      <c r="C136" s="1" t="n">
        <v>46061</v>
      </c>
      <c r="D136" t="inlineStr">
        <is>
          <t>JÖNKÖPINGS LÄN</t>
        </is>
      </c>
      <c r="E136" t="inlineStr">
        <is>
          <t>MULLSJÖ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46061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10207-2025</t>
        </is>
      </c>
      <c r="B138" s="1" t="n">
        <v>45719</v>
      </c>
      <c r="C138" s="1" t="n">
        <v>46061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40960-2023</t>
        </is>
      </c>
      <c r="B139" s="1" t="n">
        <v>45169</v>
      </c>
      <c r="C139" s="1" t="n">
        <v>46061</v>
      </c>
      <c r="D139" t="inlineStr">
        <is>
          <t>JÖNKÖPINGS LÄN</t>
        </is>
      </c>
      <c r="E139" t="inlineStr">
        <is>
          <t>MULLSJÖ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59349-2024</t>
        </is>
      </c>
      <c r="B140" s="1" t="n">
        <v>45638.2815162037</v>
      </c>
      <c r="C140" s="1" t="n">
        <v>46061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8371-2023</t>
        </is>
      </c>
      <c r="B141" s="1" t="n">
        <v>44977.385625</v>
      </c>
      <c r="C141" s="1" t="n">
        <v>46061</v>
      </c>
      <c r="D141" t="inlineStr">
        <is>
          <t>JÖNKÖPINGS LÄN</t>
        </is>
      </c>
      <c r="E141" t="inlineStr">
        <is>
          <t>MULLSJÖ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58356-2025</t>
        </is>
      </c>
      <c r="B142" s="1" t="n">
        <v>45985.5115162037</v>
      </c>
      <c r="C142" s="1" t="n">
        <v>46061</v>
      </c>
      <c r="D142" t="inlineStr">
        <is>
          <t>JÖNKÖPINGS LÄN</t>
        </is>
      </c>
      <c r="E142" t="inlineStr">
        <is>
          <t>MULLSJÖ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46061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46061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8020-2025</t>
        </is>
      </c>
      <c r="B145" s="1" t="n">
        <v>45707.569375</v>
      </c>
      <c r="C145" s="1" t="n">
        <v>46061</v>
      </c>
      <c r="D145" t="inlineStr">
        <is>
          <t>JÖNKÖPINGS LÄN</t>
        </is>
      </c>
      <c r="E145" t="inlineStr">
        <is>
          <t>MULLSJÖ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46006-2022</t>
        </is>
      </c>
      <c r="B146" s="1" t="n">
        <v>44846</v>
      </c>
      <c r="C146" s="1" t="n">
        <v>46061</v>
      </c>
      <c r="D146" t="inlineStr">
        <is>
          <t>JÖNKÖPINGS LÄN</t>
        </is>
      </c>
      <c r="E146" t="inlineStr">
        <is>
          <t>MULLSJÖ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1347-2026</t>
        </is>
      </c>
      <c r="B147" s="1" t="n">
        <v>46031.59274305555</v>
      </c>
      <c r="C147" s="1" t="n">
        <v>46061</v>
      </c>
      <c r="D147" t="inlineStr">
        <is>
          <t>JÖNKÖPINGS LÄN</t>
        </is>
      </c>
      <c r="E147" t="inlineStr">
        <is>
          <t>MULLSJÖ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16350-2022</t>
        </is>
      </c>
      <c r="B148" s="1" t="n">
        <v>44670</v>
      </c>
      <c r="C148" s="1" t="n">
        <v>46061</v>
      </c>
      <c r="D148" t="inlineStr">
        <is>
          <t>JÖNKÖPINGS LÄN</t>
        </is>
      </c>
      <c r="E148" t="inlineStr">
        <is>
          <t>MULLSJÖ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1400-2026</t>
        </is>
      </c>
      <c r="B149" s="1" t="n">
        <v>46031.6427662037</v>
      </c>
      <c r="C149" s="1" t="n">
        <v>46061</v>
      </c>
      <c r="D149" t="inlineStr">
        <is>
          <t>JÖNKÖPINGS LÄN</t>
        </is>
      </c>
      <c r="E149" t="inlineStr">
        <is>
          <t>MULLSJÖ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1384-2026</t>
        </is>
      </c>
      <c r="B150" s="1" t="n">
        <v>46031.62291666667</v>
      </c>
      <c r="C150" s="1" t="n">
        <v>46061</v>
      </c>
      <c r="D150" t="inlineStr">
        <is>
          <t>JÖNKÖPINGS LÄN</t>
        </is>
      </c>
      <c r="E150" t="inlineStr">
        <is>
          <t>MULLSJÖ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1394-2026</t>
        </is>
      </c>
      <c r="B151" s="1" t="n">
        <v>46031.63753472222</v>
      </c>
      <c r="C151" s="1" t="n">
        <v>46061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2495-2024</t>
        </is>
      </c>
      <c r="B152" s="1" t="n">
        <v>45313</v>
      </c>
      <c r="C152" s="1" t="n">
        <v>46061</v>
      </c>
      <c r="D152" t="inlineStr">
        <is>
          <t>JÖNKÖPINGS LÄN</t>
        </is>
      </c>
      <c r="E152" t="inlineStr">
        <is>
          <t>MULLSJÖ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59332-2024</t>
        </is>
      </c>
      <c r="B153" s="1" t="n">
        <v>45637.79350694444</v>
      </c>
      <c r="C153" s="1" t="n">
        <v>46061</v>
      </c>
      <c r="D153" t="inlineStr">
        <is>
          <t>JÖNKÖPINGS LÄN</t>
        </is>
      </c>
      <c r="E153" t="inlineStr">
        <is>
          <t>MULLSJÖ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9892-2025</t>
        </is>
      </c>
      <c r="B154" s="1" t="n">
        <v>45716.70597222223</v>
      </c>
      <c r="C154" s="1" t="n">
        <v>46061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23787-2024</t>
        </is>
      </c>
      <c r="B155" s="1" t="n">
        <v>45455.42315972222</v>
      </c>
      <c r="C155" s="1" t="n">
        <v>46061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10206-2025</t>
        </is>
      </c>
      <c r="B156" s="1" t="n">
        <v>45719</v>
      </c>
      <c r="C156" s="1" t="n">
        <v>46061</v>
      </c>
      <c r="D156" t="inlineStr">
        <is>
          <t>JÖNKÖPINGS LÄN</t>
        </is>
      </c>
      <c r="E156" t="inlineStr">
        <is>
          <t>MULLSJÖ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16449-2025</t>
        </is>
      </c>
      <c r="B157" s="1" t="n">
        <v>45751.5106712963</v>
      </c>
      <c r="C157" s="1" t="n">
        <v>46061</v>
      </c>
      <c r="D157" t="inlineStr">
        <is>
          <t>JÖNKÖPINGS LÄN</t>
        </is>
      </c>
      <c r="E157" t="inlineStr">
        <is>
          <t>MULLSJÖ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1221-2026</t>
        </is>
      </c>
      <c r="B158" s="1" t="n">
        <v>46031.4018287037</v>
      </c>
      <c r="C158" s="1" t="n">
        <v>46061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11515-2024</t>
        </is>
      </c>
      <c r="B159" s="1" t="n">
        <v>45372.77957175926</v>
      </c>
      <c r="C159" s="1" t="n">
        <v>46061</v>
      </c>
      <c r="D159" t="inlineStr">
        <is>
          <t>JÖNKÖPINGS LÄN</t>
        </is>
      </c>
      <c r="E159" t="inlineStr">
        <is>
          <t>MULLSJÖ</t>
        </is>
      </c>
      <c r="F159" t="inlineStr">
        <is>
          <t>Kyrkan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62586-2025</t>
        </is>
      </c>
      <c r="B160" s="1" t="n">
        <v>46007.84753472222</v>
      </c>
      <c r="C160" s="1" t="n">
        <v>46061</v>
      </c>
      <c r="D160" t="inlineStr">
        <is>
          <t>JÖNKÖPINGS LÄN</t>
        </is>
      </c>
      <c r="E160" t="inlineStr">
        <is>
          <t>MULLSJÖ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62956-2025</t>
        </is>
      </c>
      <c r="B161" s="1" t="n">
        <v>46009</v>
      </c>
      <c r="C161" s="1" t="n">
        <v>46061</v>
      </c>
      <c r="D161" t="inlineStr">
        <is>
          <t>JÖNKÖPINGS LÄN</t>
        </is>
      </c>
      <c r="E161" t="inlineStr">
        <is>
          <t>MULLSJÖ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14064-2025</t>
        </is>
      </c>
      <c r="B162" s="1" t="n">
        <v>45740.41469907408</v>
      </c>
      <c r="C162" s="1" t="n">
        <v>46061</v>
      </c>
      <c r="D162" t="inlineStr">
        <is>
          <t>JÖNKÖPINGS LÄN</t>
        </is>
      </c>
      <c r="E162" t="inlineStr">
        <is>
          <t>MULLSJÖ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7181-2023</t>
        </is>
      </c>
      <c r="B163" s="1" t="n">
        <v>44970</v>
      </c>
      <c r="C163" s="1" t="n">
        <v>46061</v>
      </c>
      <c r="D163" t="inlineStr">
        <is>
          <t>JÖNKÖPINGS LÄN</t>
        </is>
      </c>
      <c r="E163" t="inlineStr">
        <is>
          <t>MULLSJÖ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HYPERLINK("https://klasma.github.io/Logging_0642/knärot/A 7181-2023 karta knärot.png", "A 7181-2023")</f>
        <v/>
      </c>
      <c r="V163">
        <f>HYPERLINK("https://klasma.github.io/Logging_0642/klagomål/A 7181-2023 FSC-klagomål.docx", "A 7181-2023")</f>
        <v/>
      </c>
      <c r="W163">
        <f>HYPERLINK("https://klasma.github.io/Logging_0642/klagomålsmail/A 7181-2023 FSC-klagomål mail.docx", "A 7181-2023")</f>
        <v/>
      </c>
      <c r="X163">
        <f>HYPERLINK("https://klasma.github.io/Logging_0642/tillsyn/A 7181-2023 tillsynsbegäran.docx", "A 7181-2023")</f>
        <v/>
      </c>
      <c r="Y163">
        <f>HYPERLINK("https://klasma.github.io/Logging_0642/tillsynsmail/A 7181-2023 tillsynsbegäran mail.docx", "A 7181-2023")</f>
        <v/>
      </c>
    </row>
    <row r="164" ht="15" customHeight="1">
      <c r="A164" t="inlineStr">
        <is>
          <t>A 4355-2023</t>
        </is>
      </c>
      <c r="B164" s="1" t="n">
        <v>44954.598125</v>
      </c>
      <c r="C164" s="1" t="n">
        <v>46061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22110-2021</t>
        </is>
      </c>
      <c r="B165" s="1" t="n">
        <v>44323.6992824074</v>
      </c>
      <c r="C165" s="1" t="n">
        <v>46061</v>
      </c>
      <c r="D165" t="inlineStr">
        <is>
          <t>JÖNKÖPINGS LÄN</t>
        </is>
      </c>
      <c r="E165" t="inlineStr">
        <is>
          <t>MULLSJÖ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15707-2025</t>
        </is>
      </c>
      <c r="B166" s="1" t="n">
        <v>45748.49090277778</v>
      </c>
      <c r="C166" s="1" t="n">
        <v>46061</v>
      </c>
      <c r="D166" t="inlineStr">
        <is>
          <t>JÖNKÖPINGS LÄN</t>
        </is>
      </c>
      <c r="E166" t="inlineStr">
        <is>
          <t>MULLSJÖ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63613-2025</t>
        </is>
      </c>
      <c r="B167" s="1" t="n">
        <v>46014.34581018519</v>
      </c>
      <c r="C167" s="1" t="n">
        <v>46061</v>
      </c>
      <c r="D167" t="inlineStr">
        <is>
          <t>JÖNKÖPINGS LÄN</t>
        </is>
      </c>
      <c r="E167" t="inlineStr">
        <is>
          <t>MULLSJÖ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46061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46061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46061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46061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46061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46061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46061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46061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46061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46061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46061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46061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46061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46061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46061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46061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46061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46061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46061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46061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46061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46061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46061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46061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46061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46061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46061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46061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46061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46061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46061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46061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46061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46061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46061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46061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46061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46061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46061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46061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46061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46061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46061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46061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46061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46061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46061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46061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4252-2024</t>
        </is>
      </c>
      <c r="B216" s="1" t="n">
        <v>45324.48243055555</v>
      </c>
      <c r="C216" s="1" t="n">
        <v>46061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4957-2022</t>
        </is>
      </c>
      <c r="B217" s="1" t="n">
        <v>44593</v>
      </c>
      <c r="C217" s="1" t="n">
        <v>46061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29527-2024</t>
        </is>
      </c>
      <c r="B218" s="1" t="n">
        <v>45484.46942129629</v>
      </c>
      <c r="C218" s="1" t="n">
        <v>46061</v>
      </c>
      <c r="D218" t="inlineStr">
        <is>
          <t>JÖNKÖPINGS LÄN</t>
        </is>
      </c>
      <c r="E218" t="inlineStr">
        <is>
          <t>MULLSJÖ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6209-2023</t>
        </is>
      </c>
      <c r="B219" s="1" t="n">
        <v>44964.80540509259</v>
      </c>
      <c r="C219" s="1" t="n">
        <v>46061</v>
      </c>
      <c r="D219" t="inlineStr">
        <is>
          <t>JÖNKÖPINGS LÄN</t>
        </is>
      </c>
      <c r="E219" t="inlineStr">
        <is>
          <t>MULLSJÖ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2026-02-08T11:00:18Z</dcterms:created>
  <dcterms:modified xmlns:dcterms="http://purl.org/dc/terms/" xmlns:xsi="http://www.w3.org/2001/XMLSchema-instance" xsi:type="dcterms:W3CDTF">2026-02-08T11:00:18Z</dcterms:modified>
</cp:coreProperties>
</file>