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46302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46302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46302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46302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46302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46302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46302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46302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46302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46302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1221-2026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46302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1</v>
      </c>
      <c r="V18" s="2" t="inlineStr">
        <is>
          <t>Slåtterfibbla</t>
        </is>
      </c>
      <c r="W18">
        <f>HYPERLINK("https://klasma.github.io/Logging_0642/artfynd/A 1221-2026 artfynd.xlsx", "A 1221-2026")</f>
        <v/>
      </c>
      <c r="X18">
        <f>HYPERLINK("https://klasma.github.io/Logging_0642/kartor/A 1221-2026 karta.png", "A 1221-2026")</f>
        <v/>
      </c>
      <c r="Y18">
        <f>HYPERLINK("https://klasma.github.io/Logging_0642/kartor_geotiff/A 1221-2026 georefererad karta.tif", "A 1221-2026")</f>
        <v/>
      </c>
      <c r="AA18">
        <f>HYPERLINK("https://klasma.github.io/Logging_0642/klagomål/A 1221-2026 FSC-klagomål.docx", "A 1221-2026")</f>
        <v/>
      </c>
      <c r="AB18">
        <f>HYPERLINK("https://klasma.github.io/Logging_0642/klagomålsmail/A 1221-2026 FSC-klagomål mail.docx", "A 1221-2026")</f>
        <v/>
      </c>
      <c r="AC18">
        <f>HYPERLINK("https://klasma.github.io/Logging_0642/tillsyn/A 1221-2026 tillsynsbegäran.docx", "A 1221-2026")</f>
        <v/>
      </c>
      <c r="AD18">
        <f>HYPERLINK("https://klasma.github.io/Logging_0642/tillsynsmail/A 1221-2026 tillsynsbegäran mail.docx", "A 1221-2026")</f>
        <v/>
      </c>
    </row>
    <row r="19" ht="15" customHeight="1">
      <c r="A19" t="inlineStr">
        <is>
          <t>A 56244-2022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46302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HYPERLINK("https://klasma.github.io/Logging_0642/artfynd/A 56244-2022 artfynd.xlsx", "A 56244-2022")</f>
        <v/>
      </c>
      <c r="X19">
        <f>HYPERLINK("https://klasma.github.io/Logging_0642/kartor/A 56244-2022 karta.png", "A 56244-2022")</f>
        <v/>
      </c>
      <c r="Y19">
        <f>HYPERLINK("https://klasma.github.io/Logging_0642/kartor_geotiff/A 56244-2022 georefererad karta.tif", "A 56244-2022")</f>
        <v/>
      </c>
      <c r="AA19">
        <f>HYPERLINK("https://klasma.github.io/Logging_0642/klagomål/A 56244-2022 FSC-klagomål.docx", "A 56244-2022")</f>
        <v/>
      </c>
      <c r="AB19">
        <f>HYPERLINK("https://klasma.github.io/Logging_0642/klagomålsmail/A 56244-2022 FSC-klagomål mail.docx", "A 56244-2022")</f>
        <v/>
      </c>
      <c r="AC19">
        <f>HYPERLINK("https://klasma.github.io/Logging_0642/tillsyn/A 56244-2022 tillsynsbegäran.docx", "A 56244-2022")</f>
        <v/>
      </c>
      <c r="AD19">
        <f>HYPERLINK("https://klasma.github.io/Logging_0642/tillsynsmail/A 56244-2022 tillsynsbegäran mail.docx", "A 56244-2022")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46302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17825-2026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46122</v>
      </c>
      <c r="E21" s="1" t="n">
        <v>46302</v>
      </c>
      <c r="F21" t="inlineStr">
        <is>
          <t>JÖNKÖPINGS LÄN</t>
        </is>
      </c>
      <c r="G21" t="inlineStr">
        <is>
          <t>MULLSJÖ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Fläcknycklar</t>
        </is>
      </c>
      <c r="W21">
        <f>HYPERLINK("https://klasma.github.io/Logging_0642/artfynd/A 17825-2026 artfynd.xlsx", "A 17825-2026")</f>
        <v/>
      </c>
      <c r="X21">
        <f>HYPERLINK("https://klasma.github.io/Logging_0642/kartor/A 17825-2026 karta.png", "A 17825-2026")</f>
        <v/>
      </c>
      <c r="Y21">
        <f>HYPERLINK("https://klasma.github.io/Logging_0642/kartor_geotiff/A 17825-2026 georefererad karta.tif", "A 17825-2026")</f>
        <v/>
      </c>
      <c r="AA21">
        <f>HYPERLINK("https://klasma.github.io/Logging_0642/klagomål/A 17825-2026 FSC-klagomål.docx", "A 17825-2026")</f>
        <v/>
      </c>
      <c r="AB21">
        <f>HYPERLINK("https://klasma.github.io/Logging_0642/klagomålsmail/A 17825-2026 FSC-klagomål mail.docx", "A 17825-2026")</f>
        <v/>
      </c>
      <c r="AC21">
        <f>HYPERLINK("https://klasma.github.io/Logging_0642/tillsyn/A 17825-2026 tillsynsbegäran.docx", "A 17825-2026")</f>
        <v/>
      </c>
      <c r="AD21">
        <f>HYPERLINK("https://klasma.github.io/Logging_0642/tillsynsmail/A 17825-2026 tillsynsbegäran mail.docx", "A 17825-2026")</f>
        <v/>
      </c>
    </row>
    <row r="22" ht="15" customHeight="1">
      <c r="A22" t="inlineStr">
        <is>
          <t>A 55693-2025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45972</v>
      </c>
      <c r="E22" s="1" t="n">
        <v>46302</v>
      </c>
      <c r="F22" t="inlineStr">
        <is>
          <t>JÖNKÖPINGS LÄN</t>
        </is>
      </c>
      <c r="G22" t="inlineStr">
        <is>
          <t>MULLSJÖ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HYPERLINK("https://klasma.github.io/Logging_0642/artfynd/A 55693-2025 artfynd.xlsx", "A 55693-2025")</f>
        <v/>
      </c>
      <c r="X22">
        <f>HYPERLINK("https://klasma.github.io/Logging_0642/kartor/A 55693-2025 karta.png", "A 55693-2025")</f>
        <v/>
      </c>
      <c r="Y22">
        <f>HYPERLINK("https://klasma.github.io/Logging_0642/kartor_geotiff/A 55693-2025 georefererad karta.tif", "A 55693-2025")</f>
        <v/>
      </c>
      <c r="AA22">
        <f>HYPERLINK("https://klasma.github.io/Logging_0642/klagomål/A 55693-2025 FSC-klagomål.docx", "A 55693-2025")</f>
        <v/>
      </c>
      <c r="AB22">
        <f>HYPERLINK("https://klasma.github.io/Logging_0642/klagomålsmail/A 55693-2025 FSC-klagomål mail.docx", "A 55693-2025")</f>
        <v/>
      </c>
      <c r="AC22">
        <f>HYPERLINK("https://klasma.github.io/Logging_0642/tillsyn/A 55693-2025 tillsynsbegäran.docx", "A 55693-2025")</f>
        <v/>
      </c>
      <c r="AD22">
        <f>HYPERLINK("https://klasma.github.io/Logging_0642/tillsynsmail/A 55693-2025 tillsynsbegäran mail.docx", "A 55693-2025")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46302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46006-2022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46302</v>
      </c>
      <c r="F24" t="inlineStr">
        <is>
          <t>JÖNKÖPINGS LÄN</t>
        </is>
      </c>
      <c r="G24" t="inlineStr">
        <is>
          <t>MULLSJÖ</t>
        </is>
      </c>
      <c r="I24" t="n">
        <v>3.4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HYPERLINK("https://klasma.github.io/Logging_0642/artfynd/A 46006-2022 artfynd.xlsx", "A 46006-2022")</f>
        <v/>
      </c>
      <c r="X24">
        <f>HYPERLINK("https://klasma.github.io/Logging_0642/kartor/A 46006-2022 karta.png", "A 46006-2022")</f>
        <v/>
      </c>
      <c r="Y24">
        <f>HYPERLINK("https://klasma.github.io/Logging_0642/kartor_geotiff/A 46006-2022 georefererad karta.tif", "A 46006-2022")</f>
        <v/>
      </c>
      <c r="AA24">
        <f>HYPERLINK("https://klasma.github.io/Logging_0642/klagomål/A 46006-2022 FSC-klagomål.docx", "A 46006-2022")</f>
        <v/>
      </c>
      <c r="AB24">
        <f>HYPERLINK("https://klasma.github.io/Logging_0642/klagomålsmail/A 46006-2022 FSC-klagomål mail.docx", "A 46006-2022")</f>
        <v/>
      </c>
      <c r="AC24">
        <f>HYPERLINK("https://klasma.github.io/Logging_0642/tillsyn/A 46006-2022 tillsynsbegäran.docx", "A 46006-2022")</f>
        <v/>
      </c>
      <c r="AD24">
        <f>HYPERLINK("https://klasma.github.io/Logging_0642/tillsynsmail/A 46006-2022 tillsynsbegäran mail.docx", "A 46006-2022")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46302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46302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46302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46302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46302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46302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46302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46302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46302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46302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46302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46302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46302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46302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46302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46302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46302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46302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46302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46302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46302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46302</v>
      </c>
      <c r="F46" t="inlineStr">
        <is>
          <t>JÖNKÖPINGS LÄN</t>
        </is>
      </c>
      <c r="G46" t="inlineStr">
        <is>
          <t>MULLSJÖ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46302</v>
      </c>
      <c r="F47" t="inlineStr">
        <is>
          <t>JÖNKÖPINGS LÄN</t>
        </is>
      </c>
      <c r="G47" t="inlineStr">
        <is>
          <t>MULLSJÖ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46302</v>
      </c>
      <c r="F48" t="inlineStr">
        <is>
          <t>JÖNKÖPINGS LÄN</t>
        </is>
      </c>
      <c r="G48" t="inlineStr">
        <is>
          <t>MULLSJÖ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46302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46302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46302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46302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46302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46302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46302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44966</v>
      </c>
      <c r="E56" s="1" t="n">
        <v>46302</v>
      </c>
      <c r="F56" t="inlineStr">
        <is>
          <t>JÖNKÖPINGS LÄN</t>
        </is>
      </c>
      <c r="G56" t="inlineStr">
        <is>
          <t>MULLSJÖ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46302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46302</v>
      </c>
      <c r="F58" t="inlineStr">
        <is>
          <t>JÖNKÖPINGS LÄN</t>
        </is>
      </c>
      <c r="G58" t="inlineStr">
        <is>
          <t>MULLSJÖ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46302</v>
      </c>
      <c r="F59" t="inlineStr">
        <is>
          <t>JÖNKÖPINGS LÄN</t>
        </is>
      </c>
      <c r="G59" t="inlineStr">
        <is>
          <t>MULLSJÖ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45529</v>
      </c>
      <c r="E60" s="1" t="n">
        <v>46302</v>
      </c>
      <c r="F60" t="inlineStr">
        <is>
          <t>JÖNKÖPINGS LÄN</t>
        </is>
      </c>
      <c r="G60" t="inlineStr">
        <is>
          <t>MULLSJÖ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46302</v>
      </c>
      <c r="F61" t="inlineStr">
        <is>
          <t>JÖNKÖPINGS LÄN</t>
        </is>
      </c>
      <c r="G61" t="inlineStr">
        <is>
          <t>MULLSJÖ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46302</v>
      </c>
      <c r="F62" t="inlineStr">
        <is>
          <t>JÖNKÖPINGS LÄN</t>
        </is>
      </c>
      <c r="G62" t="inlineStr">
        <is>
          <t>MULLSJÖ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45686</v>
      </c>
      <c r="E63" s="1" t="n">
        <v>46302</v>
      </c>
      <c r="F63" t="inlineStr">
        <is>
          <t>JÖNKÖPINGS LÄN</t>
        </is>
      </c>
      <c r="G63" t="inlineStr">
        <is>
          <t>MULLSJÖ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45495</v>
      </c>
      <c r="E64" s="1" t="n">
        <v>46302</v>
      </c>
      <c r="F64" t="inlineStr">
        <is>
          <t>JÖNKÖPINGS LÄN</t>
        </is>
      </c>
      <c r="G64" t="inlineStr">
        <is>
          <t>MULLSJÖ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46302</v>
      </c>
      <c r="F65" t="inlineStr">
        <is>
          <t>JÖNKÖPINGS LÄN</t>
        </is>
      </c>
      <c r="G65" t="inlineStr">
        <is>
          <t>MULLSJÖ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27549-2022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46302</v>
      </c>
      <c r="F66" t="inlineStr">
        <is>
          <t>JÖNKÖPINGS LÄN</t>
        </is>
      </c>
      <c r="G66" t="inlineStr">
        <is>
          <t>MULLSJÖ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45904</v>
      </c>
      <c r="E67" s="1" t="n">
        <v>46302</v>
      </c>
      <c r="F67" t="inlineStr">
        <is>
          <t>JÖNKÖPINGS LÄN</t>
        </is>
      </c>
      <c r="G67" t="inlineStr">
        <is>
          <t>MULLSJÖ</t>
        </is>
      </c>
      <c r="H67" t="inlineStr">
        <is>
          <t>Kyrkan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46302</v>
      </c>
      <c r="F68" t="inlineStr">
        <is>
          <t>JÖNKÖPINGS LÄN</t>
        </is>
      </c>
      <c r="G68" t="inlineStr">
        <is>
          <t>MULLSJÖ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46302</v>
      </c>
      <c r="F69" t="inlineStr">
        <is>
          <t>JÖNKÖPINGS LÄN</t>
        </is>
      </c>
      <c r="G69" t="inlineStr">
        <is>
          <t>MULLSJÖ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46302</v>
      </c>
      <c r="F70" t="inlineStr">
        <is>
          <t>JÖNKÖPINGS LÄN</t>
        </is>
      </c>
      <c r="G70" t="inlineStr">
        <is>
          <t>MULLSJÖ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45048</v>
      </c>
      <c r="E71" s="1" t="n">
        <v>46302</v>
      </c>
      <c r="F71" t="inlineStr">
        <is>
          <t>JÖNKÖPINGS LÄN</t>
        </is>
      </c>
      <c r="G71" t="inlineStr">
        <is>
          <t>MULLSJÖ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12351-2026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46088</v>
      </c>
      <c r="E72" s="1" t="n">
        <v>46302</v>
      </c>
      <c r="F72" t="inlineStr">
        <is>
          <t>JÖNKÖPINGS LÄN</t>
        </is>
      </c>
      <c r="G72" t="inlineStr">
        <is>
          <t>MULLSJÖ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46302</v>
      </c>
      <c r="F73" t="inlineStr">
        <is>
          <t>JÖNKÖPINGS LÄN</t>
        </is>
      </c>
      <c r="G73" t="inlineStr">
        <is>
          <t>MULLSJÖ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46302</v>
      </c>
      <c r="F74" t="inlineStr">
        <is>
          <t>JÖNKÖPINGS LÄN</t>
        </is>
      </c>
      <c r="G74" t="inlineStr">
        <is>
          <t>MULLSJÖ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46302</v>
      </c>
      <c r="F75" t="inlineStr">
        <is>
          <t>JÖNKÖPINGS LÄN</t>
        </is>
      </c>
      <c r="G75" t="inlineStr">
        <is>
          <t>MULLSJÖ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45928</v>
      </c>
      <c r="E76" s="1" t="n">
        <v>46302</v>
      </c>
      <c r="F76" t="inlineStr">
        <is>
          <t>JÖNKÖPINGS LÄN</t>
        </is>
      </c>
      <c r="G76" t="inlineStr">
        <is>
          <t>MULLSJÖ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44964</v>
      </c>
      <c r="E77" s="1" t="n">
        <v>46302</v>
      </c>
      <c r="F77" t="inlineStr">
        <is>
          <t>JÖNKÖPINGS LÄN</t>
        </is>
      </c>
      <c r="G77" t="inlineStr">
        <is>
          <t>MULLSJÖ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44964</v>
      </c>
      <c r="E78" s="1" t="n">
        <v>46302</v>
      </c>
      <c r="F78" t="inlineStr">
        <is>
          <t>JÖNKÖPINGS LÄN</t>
        </is>
      </c>
      <c r="G78" t="inlineStr">
        <is>
          <t>MULLSJÖ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46302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46302</v>
      </c>
      <c r="F80" t="inlineStr">
        <is>
          <t>JÖNKÖPINGS LÄN</t>
        </is>
      </c>
      <c r="G80" t="inlineStr">
        <is>
          <t>MULLSJÖ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46302</v>
      </c>
      <c r="F81" t="inlineStr">
        <is>
          <t>JÖNKÖPINGS LÄN</t>
        </is>
      </c>
      <c r="G81" t="inlineStr">
        <is>
          <t>MULLSJÖ</t>
        </is>
      </c>
      <c r="I81" t="n">
        <v>15.1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46302</v>
      </c>
      <c r="F82" t="inlineStr">
        <is>
          <t>JÖNKÖPINGS LÄN</t>
        </is>
      </c>
      <c r="G82" t="inlineStr">
        <is>
          <t>MULLSJÖ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14226-2024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45393</v>
      </c>
      <c r="E83" s="1" t="n">
        <v>46302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46302</v>
      </c>
      <c r="F84" t="inlineStr">
        <is>
          <t>JÖNKÖPINGS LÄN</t>
        </is>
      </c>
      <c r="G84" t="inlineStr">
        <is>
          <t>MULLSJÖ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18421-2026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46126</v>
      </c>
      <c r="E85" s="1" t="n">
        <v>46302</v>
      </c>
      <c r="F85" t="inlineStr">
        <is>
          <t>JÖNKÖPINGS LÄN</t>
        </is>
      </c>
      <c r="G85" t="inlineStr">
        <is>
          <t>MULLSJÖ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46302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46302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46302</v>
      </c>
      <c r="F88" t="inlineStr">
        <is>
          <t>JÖNKÖPINGS LÄN</t>
        </is>
      </c>
      <c r="G88" t="inlineStr">
        <is>
          <t>MULLSJÖ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46302</v>
      </c>
      <c r="F89" t="inlineStr">
        <is>
          <t>JÖNKÖPINGS LÄN</t>
        </is>
      </c>
      <c r="G89" t="inlineStr">
        <is>
          <t>MULLSJÖ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46302</v>
      </c>
      <c r="F90" t="inlineStr">
        <is>
          <t>JÖNKÖPINGS LÄN</t>
        </is>
      </c>
      <c r="G90" t="inlineStr">
        <is>
          <t>MULLSJÖ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45676</v>
      </c>
      <c r="E91" s="1" t="n">
        <v>46302</v>
      </c>
      <c r="F91" t="inlineStr">
        <is>
          <t>JÖNKÖPINGS LÄN</t>
        </is>
      </c>
      <c r="G91" t="inlineStr">
        <is>
          <t>MULLSJÖ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46302</v>
      </c>
      <c r="F92" t="inlineStr">
        <is>
          <t>JÖNKÖPINGS LÄN</t>
        </is>
      </c>
      <c r="G92" t="inlineStr">
        <is>
          <t>MULLSJÖ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7654-2022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46302</v>
      </c>
      <c r="F93" t="inlineStr">
        <is>
          <t>JÖNKÖPINGS LÄN</t>
        </is>
      </c>
      <c r="G93" t="inlineStr">
        <is>
          <t>MULLSJÖ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46302</v>
      </c>
      <c r="F94" t="inlineStr">
        <is>
          <t>JÖNKÖPINGS LÄN</t>
        </is>
      </c>
      <c r="G94" t="inlineStr">
        <is>
          <t>MULLSJÖ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12423-2025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46302</v>
      </c>
      <c r="F95" t="inlineStr">
        <is>
          <t>JÖNKÖPINGS LÄN</t>
        </is>
      </c>
      <c r="G95" t="inlineStr">
        <is>
          <t>MULLSJÖ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62586-2025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46007</v>
      </c>
      <c r="E96" s="1" t="n">
        <v>46302</v>
      </c>
      <c r="F96" t="inlineStr">
        <is>
          <t>JÖNKÖPINGS LÄN</t>
        </is>
      </c>
      <c r="G96" t="inlineStr">
        <is>
          <t>MULLSJÖ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46009</v>
      </c>
      <c r="E97" s="1" t="n">
        <v>46302</v>
      </c>
      <c r="F97" t="inlineStr">
        <is>
          <t>JÖNKÖPINGS LÄN</t>
        </is>
      </c>
      <c r="G97" t="inlineStr">
        <is>
          <t>MULLSJÖ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45083</v>
      </c>
      <c r="E98" s="1" t="n">
        <v>46302</v>
      </c>
      <c r="F98" t="inlineStr">
        <is>
          <t>JÖNKÖPINGS LÄN</t>
        </is>
      </c>
      <c r="G98" t="inlineStr">
        <is>
          <t>MULLSJÖ</t>
        </is>
      </c>
      <c r="I98" t="n">
        <v>13.1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46302</v>
      </c>
      <c r="F99" t="inlineStr">
        <is>
          <t>JÖNKÖPINGS LÄN</t>
        </is>
      </c>
      <c r="G99" t="inlineStr">
        <is>
          <t>MULLSJÖ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45446</v>
      </c>
      <c r="E100" s="1" t="n">
        <v>46302</v>
      </c>
      <c r="F100" t="inlineStr">
        <is>
          <t>JÖNKÖPINGS LÄN</t>
        </is>
      </c>
      <c r="G100" t="inlineStr">
        <is>
          <t>MULLSJÖ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46302</v>
      </c>
      <c r="F101" t="inlineStr">
        <is>
          <t>JÖNKÖPINGS LÄN</t>
        </is>
      </c>
      <c r="G101" t="inlineStr">
        <is>
          <t>MULLSJÖ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46302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45214</v>
      </c>
      <c r="E103" s="1" t="n">
        <v>46302</v>
      </c>
      <c r="F103" t="inlineStr">
        <is>
          <t>JÖNKÖPINGS LÄN</t>
        </is>
      </c>
      <c r="G103" t="inlineStr">
        <is>
          <t>MULLSJÖ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46302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35244-2023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46302</v>
      </c>
      <c r="F105" t="inlineStr">
        <is>
          <t>JÖNKÖPINGS LÄN</t>
        </is>
      </c>
      <c r="G105" t="inlineStr">
        <is>
          <t>MULLSJÖ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46302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46302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46302</v>
      </c>
      <c r="F108" t="inlineStr">
        <is>
          <t>JÖNKÖPINGS LÄN</t>
        </is>
      </c>
      <c r="G108" t="inlineStr">
        <is>
          <t>MULLSJÖ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46302</v>
      </c>
      <c r="F109" t="inlineStr">
        <is>
          <t>JÖNKÖPINGS LÄN</t>
        </is>
      </c>
      <c r="G109" t="inlineStr">
        <is>
          <t>MULLSJÖ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46302</v>
      </c>
      <c r="F110" t="inlineStr">
        <is>
          <t>JÖNKÖPINGS LÄN</t>
        </is>
      </c>
      <c r="G110" t="inlineStr">
        <is>
          <t>MULLSJÖ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46302</v>
      </c>
      <c r="F111" t="inlineStr">
        <is>
          <t>JÖNKÖPINGS LÄN</t>
        </is>
      </c>
      <c r="G111" t="inlineStr">
        <is>
          <t>MULLSJÖ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46197</v>
      </c>
      <c r="E112" s="1" t="n">
        <v>46302</v>
      </c>
      <c r="F112" t="inlineStr">
        <is>
          <t>JÖNKÖPINGS LÄN</t>
        </is>
      </c>
      <c r="G112" t="inlineStr">
        <is>
          <t>MULLSJÖ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46302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46302</v>
      </c>
      <c r="F114" t="inlineStr">
        <is>
          <t>JÖNKÖPINGS LÄN</t>
        </is>
      </c>
      <c r="G114" t="inlineStr">
        <is>
          <t>MULLSJÖ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44977</v>
      </c>
      <c r="E115" s="1" t="n">
        <v>46302</v>
      </c>
      <c r="F115" t="inlineStr">
        <is>
          <t>JÖNKÖPINGS LÄN</t>
        </is>
      </c>
      <c r="G115" t="inlineStr">
        <is>
          <t>MULLSJÖ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16573-2025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45752</v>
      </c>
      <c r="E116" s="1" t="n">
        <v>46302</v>
      </c>
      <c r="F116" t="inlineStr">
        <is>
          <t>JÖNKÖPINGS LÄN</t>
        </is>
      </c>
      <c r="G116" t="inlineStr">
        <is>
          <t>MULLSJÖ</t>
        </is>
      </c>
      <c r="I116" t="n">
        <v>9.6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46302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46302</v>
      </c>
      <c r="F118" t="inlineStr">
        <is>
          <t>JÖNKÖPINGS LÄN</t>
        </is>
      </c>
      <c r="G118" t="inlineStr">
        <is>
          <t>MULLSJÖ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46216</v>
      </c>
      <c r="E119" s="1" t="n">
        <v>46302</v>
      </c>
      <c r="F119" t="inlineStr">
        <is>
          <t>JÖNKÖPINGS LÄN</t>
        </is>
      </c>
      <c r="G119" t="inlineStr">
        <is>
          <t>MULLSJÖ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46216</v>
      </c>
      <c r="E120" s="1" t="n">
        <v>46302</v>
      </c>
      <c r="F120" t="inlineStr">
        <is>
          <t>JÖNKÖPINGS LÄN</t>
        </is>
      </c>
      <c r="G120" t="inlineStr">
        <is>
          <t>MULLSJÖ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46302</v>
      </c>
      <c r="F121" t="inlineStr">
        <is>
          <t>JÖNKÖPINGS LÄN</t>
        </is>
      </c>
      <c r="G121" t="inlineStr">
        <is>
          <t>MULLSJÖ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35115-2026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46260</v>
      </c>
      <c r="E122" s="1" t="n">
        <v>46302</v>
      </c>
      <c r="F122" t="inlineStr">
        <is>
          <t>JÖNKÖPINGS LÄN</t>
        </is>
      </c>
      <c r="G122" t="inlineStr">
        <is>
          <t>MULLSJÖ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46302</v>
      </c>
      <c r="F123" t="inlineStr">
        <is>
          <t>JÖNKÖPINGS LÄN</t>
        </is>
      </c>
      <c r="G123" t="inlineStr">
        <is>
          <t>MULLSJÖ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46302</v>
      </c>
      <c r="F124" t="inlineStr">
        <is>
          <t>JÖNKÖPINGS LÄN</t>
        </is>
      </c>
      <c r="G124" t="inlineStr">
        <is>
          <t>MULLSJÖ</t>
        </is>
      </c>
      <c r="H124" t="inlineStr">
        <is>
          <t>Kyrkan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46268</v>
      </c>
      <c r="E125" s="1" t="n">
        <v>46302</v>
      </c>
      <c r="F125" t="inlineStr">
        <is>
          <t>JÖNKÖPINGS LÄN</t>
        </is>
      </c>
      <c r="G125" t="inlineStr">
        <is>
          <t>MULLSJÖ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46302</v>
      </c>
      <c r="F126" t="inlineStr">
        <is>
          <t>JÖNKÖPINGS LÄN</t>
        </is>
      </c>
      <c r="G126" t="inlineStr">
        <is>
          <t>MULLSJÖ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46268</v>
      </c>
      <c r="E127" s="1" t="n">
        <v>46302</v>
      </c>
      <c r="F127" t="inlineStr">
        <is>
          <t>JÖNKÖPINGS LÄN</t>
        </is>
      </c>
      <c r="G127" t="inlineStr">
        <is>
          <t>MULLSJÖ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46302</v>
      </c>
      <c r="F128" t="inlineStr">
        <is>
          <t>JÖNKÖPINGS LÄN</t>
        </is>
      </c>
      <c r="G128" t="inlineStr">
        <is>
          <t>MULLSJÖ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44970</v>
      </c>
      <c r="E129" s="1" t="n">
        <v>46302</v>
      </c>
      <c r="F129" t="inlineStr">
        <is>
          <t>JÖNKÖPINGS LÄN</t>
        </is>
      </c>
      <c r="G129" t="inlineStr">
        <is>
          <t>MULLSJÖ</t>
        </is>
      </c>
      <c r="H129" t="inlineStr">
        <is>
          <t>Kommuner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  <c r="Z129">
        <f>HYPERLINK("https://klasma.github.io/Logging_0642/knärot/A 7181-2023 karta knärot.png", "A 7181-2023")</f>
        <v/>
      </c>
      <c r="AA129">
        <f>HYPERLINK("https://klasma.github.io/Logging_0642/klagomål/A 7181-2023 FSC-klagomål.docx", "A 7181-2023")</f>
        <v/>
      </c>
      <c r="AB129">
        <f>HYPERLINK("https://klasma.github.io/Logging_0642/klagomålsmail/A 7181-2023 FSC-klagomål mail.docx", "A 7181-2023")</f>
        <v/>
      </c>
      <c r="AC129">
        <f>HYPERLINK("https://klasma.github.io/Logging_0642/tillsyn/A 7181-2023 tillsynsbegäran.docx", "A 7181-2023")</f>
        <v/>
      </c>
      <c r="AD129">
        <f>HYPERLINK("https://klasma.github.io/Logging_0642/tillsynsmail/A 7181-2023 tillsynsbegäran mail.docx", "A 7181-2023")</f>
        <v/>
      </c>
    </row>
    <row r="130" ht="15" customHeight="1">
      <c r="A130" t="inlineStr">
        <is>
          <t>A 4355-2023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44954</v>
      </c>
      <c r="E130" s="1" t="n">
        <v>46302</v>
      </c>
      <c r="F130" t="inlineStr">
        <is>
          <t>JÖNKÖPINGS LÄN</t>
        </is>
      </c>
      <c r="G130" t="inlineStr">
        <is>
          <t>MULLSJÖ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45313</v>
      </c>
      <c r="E131" s="1" t="n">
        <v>46302</v>
      </c>
      <c r="F131" t="inlineStr">
        <is>
          <t>JÖNKÖPINGS LÄN</t>
        </is>
      </c>
      <c r="G131" t="inlineStr">
        <is>
          <t>MULLSJÖ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46232</v>
      </c>
      <c r="E132" s="1" t="n">
        <v>46302</v>
      </c>
      <c r="F132" t="inlineStr">
        <is>
          <t>JÖNKÖPINGS LÄN</t>
        </is>
      </c>
      <c r="G132" t="inlineStr">
        <is>
          <t>MULLSJÖ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46302</v>
      </c>
      <c r="F133" t="inlineStr">
        <is>
          <t>JÖNKÖPINGS LÄN</t>
        </is>
      </c>
      <c r="G133" t="inlineStr">
        <is>
          <t>MULLSJÖ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46302</v>
      </c>
      <c r="F134" t="inlineStr">
        <is>
          <t>JÖNKÖPINGS LÄN</t>
        </is>
      </c>
      <c r="G134" t="inlineStr">
        <is>
          <t>MULLSJÖ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44895</v>
      </c>
      <c r="E135" s="1" t="n">
        <v>46302</v>
      </c>
      <c r="F135" t="inlineStr">
        <is>
          <t>JÖNKÖPINGS LÄN</t>
        </is>
      </c>
      <c r="G135" t="inlineStr">
        <is>
          <t>MULLSJÖ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46302</v>
      </c>
      <c r="F136" t="inlineStr">
        <is>
          <t>JÖNKÖPINGS LÄN</t>
        </is>
      </c>
      <c r="G136" t="inlineStr">
        <is>
          <t>MULLSJÖ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46302</v>
      </c>
      <c r="F137" t="inlineStr">
        <is>
          <t>JÖNKÖPINGS LÄN</t>
        </is>
      </c>
      <c r="G137" t="inlineStr">
        <is>
          <t>MULLSJÖ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44889</v>
      </c>
      <c r="E138" s="1" t="n">
        <v>46302</v>
      </c>
      <c r="F138" t="inlineStr">
        <is>
          <t>JÖNKÖPINGS LÄN</t>
        </is>
      </c>
      <c r="G138" t="inlineStr">
        <is>
          <t>MULLSJÖ</t>
        </is>
      </c>
      <c r="I138" t="n">
        <v>14.1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46240</v>
      </c>
      <c r="E139" s="1" t="n">
        <v>46302</v>
      </c>
      <c r="F139" t="inlineStr">
        <is>
          <t>JÖNKÖPINGS LÄN</t>
        </is>
      </c>
      <c r="G139" t="inlineStr">
        <is>
          <t>MULLSJÖ</t>
        </is>
      </c>
      <c r="I139" t="n">
        <v>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46240</v>
      </c>
      <c r="E140" s="1" t="n">
        <v>46302</v>
      </c>
      <c r="F140" t="inlineStr">
        <is>
          <t>JÖNKÖPINGS LÄN</t>
        </is>
      </c>
      <c r="G140" t="inlineStr">
        <is>
          <t>MULLSJÖ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46302</v>
      </c>
      <c r="F141" t="inlineStr">
        <is>
          <t>JÖNKÖPINGS LÄN</t>
        </is>
      </c>
      <c r="G141" t="inlineStr">
        <is>
          <t>MULLSJÖ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44954</v>
      </c>
      <c r="E142" s="1" t="n">
        <v>46302</v>
      </c>
      <c r="F142" t="inlineStr">
        <is>
          <t>JÖNKÖPINGS LÄN</t>
        </is>
      </c>
      <c r="G142" t="inlineStr">
        <is>
          <t>MULLSJÖ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46302</v>
      </c>
      <c r="F143" t="inlineStr">
        <is>
          <t>JÖNKÖPINGS LÄN</t>
        </is>
      </c>
      <c r="G143" t="inlineStr">
        <is>
          <t>MULLSJÖ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46246</v>
      </c>
      <c r="E144" s="1" t="n">
        <v>46302</v>
      </c>
      <c r="F144" t="inlineStr">
        <is>
          <t>JÖNKÖPINGS LÄN</t>
        </is>
      </c>
      <c r="G144" t="inlineStr">
        <is>
          <t>MULLSJÖ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12273-2023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44998</v>
      </c>
      <c r="E145" s="1" t="n">
        <v>46302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50297-2022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46302</v>
      </c>
      <c r="F146" t="inlineStr">
        <is>
          <t>JÖNKÖPINGS LÄN</t>
        </is>
      </c>
      <c r="G146" t="inlineStr">
        <is>
          <t>MULLSJÖ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46302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40217-2026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46293</v>
      </c>
      <c r="E148" s="1" t="n">
        <v>46302</v>
      </c>
      <c r="F148" t="inlineStr">
        <is>
          <t>JÖNKÖPINGS LÄN</t>
        </is>
      </c>
      <c r="G148" t="inlineStr">
        <is>
          <t>MULLSJÖ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56876-2023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45244</v>
      </c>
      <c r="E149" s="1" t="n">
        <v>46302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46302</v>
      </c>
      <c r="F150" t="inlineStr">
        <is>
          <t>JÖNKÖPINGS LÄN</t>
        </is>
      </c>
      <c r="G150" t="inlineStr">
        <is>
          <t>MULLSJÖ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46295</v>
      </c>
      <c r="E151" s="1" t="n">
        <v>46302</v>
      </c>
      <c r="F151" t="inlineStr">
        <is>
          <t>JÖNKÖPINGS LÄN</t>
        </is>
      </c>
      <c r="G151" t="inlineStr">
        <is>
          <t>MULLSJÖ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46302</v>
      </c>
      <c r="F152" t="inlineStr">
        <is>
          <t>JÖNKÖPINGS LÄN</t>
        </is>
      </c>
      <c r="G152" t="inlineStr">
        <is>
          <t>MULLSJÖ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34914-2022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44796</v>
      </c>
      <c r="E153" s="1" t="n">
        <v>46302</v>
      </c>
      <c r="F153" t="inlineStr">
        <is>
          <t>JÖNKÖPINGS LÄN</t>
        </is>
      </c>
      <c r="G153" t="inlineStr">
        <is>
          <t>MULLSJÖ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44656</v>
      </c>
      <c r="E154" s="1" t="n">
        <v>46302</v>
      </c>
      <c r="F154" t="inlineStr">
        <is>
          <t>JÖNKÖPINGS LÄN</t>
        </is>
      </c>
      <c r="G154" t="inlineStr">
        <is>
          <t>MULLSJÖ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46302</v>
      </c>
      <c r="F155" t="inlineStr">
        <is>
          <t>JÖNKÖPINGS LÄN</t>
        </is>
      </c>
      <c r="G155" t="inlineStr">
        <is>
          <t>MULLSJÖ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45469</v>
      </c>
      <c r="E156" s="1" t="n">
        <v>46302</v>
      </c>
      <c r="F156" t="inlineStr">
        <is>
          <t>JÖNKÖPINGS LÄN</t>
        </is>
      </c>
      <c r="G156" t="inlineStr">
        <is>
          <t>MULLSJÖ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37124-2026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46274</v>
      </c>
      <c r="E157" s="1" t="n">
        <v>46302</v>
      </c>
      <c r="F157" t="inlineStr">
        <is>
          <t>JÖNKÖPINGS LÄN</t>
        </is>
      </c>
      <c r="G157" t="inlineStr">
        <is>
          <t>MULLSJÖ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42872-2022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44832</v>
      </c>
      <c r="E158" s="1" t="n">
        <v>46302</v>
      </c>
      <c r="F158" t="inlineStr">
        <is>
          <t>JÖNKÖPINGS LÄN</t>
        </is>
      </c>
      <c r="G158" t="inlineStr">
        <is>
          <t>MULLSJÖ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45321</v>
      </c>
      <c r="E159" s="1" t="n">
        <v>46302</v>
      </c>
      <c r="F159" t="inlineStr">
        <is>
          <t>JÖNKÖPINGS LÄN</t>
        </is>
      </c>
      <c r="G159" t="inlineStr">
        <is>
          <t>MULLSJÖ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46302</v>
      </c>
      <c r="F160" t="inlineStr">
        <is>
          <t>JÖNKÖPINGS LÄN</t>
        </is>
      </c>
      <c r="G160" t="inlineStr">
        <is>
          <t>MULLSJÖ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46302</v>
      </c>
      <c r="F161" t="inlineStr">
        <is>
          <t>JÖNKÖPINGS LÄN</t>
        </is>
      </c>
      <c r="G161" t="inlineStr">
        <is>
          <t>MULLSJÖ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46302</v>
      </c>
      <c r="F162" t="inlineStr">
        <is>
          <t>JÖNKÖPINGS LÄN</t>
        </is>
      </c>
      <c r="G162" t="inlineStr">
        <is>
          <t>MULLSJÖ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46302</v>
      </c>
      <c r="F163" t="inlineStr">
        <is>
          <t>JÖNKÖPINGS LÄN</t>
        </is>
      </c>
      <c r="G163" t="inlineStr">
        <is>
          <t>MULLSJÖ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44952</v>
      </c>
      <c r="E164" s="1" t="n">
        <v>46302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46302</v>
      </c>
      <c r="F165" t="inlineStr">
        <is>
          <t>JÖNKÖPINGS LÄN</t>
        </is>
      </c>
      <c r="G165" t="inlineStr">
        <is>
          <t>MULLSJÖ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45450</v>
      </c>
      <c r="E166" s="1" t="n">
        <v>46302</v>
      </c>
      <c r="F166" t="inlineStr">
        <is>
          <t>JÖNKÖPINGS LÄN</t>
        </is>
      </c>
      <c r="G166" t="inlineStr">
        <is>
          <t>MULLSJÖ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45016</v>
      </c>
      <c r="E167" s="1" t="n">
        <v>46302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45752</v>
      </c>
      <c r="E168" s="1" t="n">
        <v>46302</v>
      </c>
      <c r="F168" t="inlineStr">
        <is>
          <t>JÖNKÖPINGS LÄN</t>
        </is>
      </c>
      <c r="G168" t="inlineStr">
        <is>
          <t>MULLSJÖ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46302</v>
      </c>
      <c r="F169" t="inlineStr">
        <is>
          <t>JÖNKÖPINGS LÄN</t>
        </is>
      </c>
      <c r="G169" t="inlineStr">
        <is>
          <t>MULLSJÖ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44670</v>
      </c>
      <c r="E170" s="1" t="n">
        <v>46302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46302</v>
      </c>
      <c r="F171" t="inlineStr">
        <is>
          <t>JÖNKÖPINGS LÄN</t>
        </is>
      </c>
      <c r="G171" t="inlineStr">
        <is>
          <t>MULLSJÖ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46302</v>
      </c>
      <c r="F172" t="inlineStr">
        <is>
          <t>JÖNKÖPINGS LÄN</t>
        </is>
      </c>
      <c r="G172" t="inlineStr">
        <is>
          <t>MULLSJÖ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64387-2023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46302</v>
      </c>
      <c r="F173" t="inlineStr">
        <is>
          <t>JÖNKÖPINGS LÄN</t>
        </is>
      </c>
      <c r="G173" t="inlineStr">
        <is>
          <t>MULLSJÖ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45324</v>
      </c>
      <c r="E174" s="1" t="n">
        <v>46302</v>
      </c>
      <c r="F174" t="inlineStr">
        <is>
          <t>JÖNKÖPINGS LÄN</t>
        </is>
      </c>
      <c r="G174" t="inlineStr">
        <is>
          <t>MULLSJÖ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46302</v>
      </c>
      <c r="F175" t="inlineStr">
        <is>
          <t>JÖNKÖPINGS LÄN</t>
        </is>
      </c>
      <c r="G175" t="inlineStr">
        <is>
          <t>MULLSJÖ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45484</v>
      </c>
      <c r="E176" s="1" t="n">
        <v>46302</v>
      </c>
      <c r="F176" t="inlineStr">
        <is>
          <t>JÖNKÖPINGS LÄN</t>
        </is>
      </c>
      <c r="G176" t="inlineStr">
        <is>
          <t>MULLSJÖ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44964</v>
      </c>
      <c r="E177" s="1" t="n">
        <v>46302</v>
      </c>
      <c r="F177" t="inlineStr">
        <is>
          <t>JÖNKÖPINGS LÄN</t>
        </is>
      </c>
      <c r="G177" t="inlineStr">
        <is>
          <t>MULLSJÖ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46302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46302</v>
      </c>
      <c r="F179" t="inlineStr">
        <is>
          <t>JÖNKÖPINGS LÄN</t>
        </is>
      </c>
      <c r="G179" t="inlineStr">
        <is>
          <t>MULLSJÖ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45797</v>
      </c>
      <c r="E180" s="1" t="n">
        <v>46302</v>
      </c>
      <c r="F180" t="inlineStr">
        <is>
          <t>JÖNKÖPINGS LÄN</t>
        </is>
      </c>
      <c r="G180" t="inlineStr">
        <is>
          <t>MULLSJÖ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46302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46302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46302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2026-10-07T02:03:25Z</dcterms:created>
  <dcterms:modified xmlns:dcterms="http://purl.org/dc/terms/" xmlns:xsi="http://www.w3.org/2001/XMLSchema-instance" xsi:type="dcterms:W3CDTF">2026-10-07T02:03:26Z</dcterms:modified>
</cp:coreProperties>
</file>