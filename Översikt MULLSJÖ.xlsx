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46304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46304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46304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46304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46304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46304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46304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46304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46304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46304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46304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46304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46304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46304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46304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15498-2024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46304</v>
      </c>
      <c r="F17" t="inlineStr">
        <is>
          <t>JÖNKÖPINGS LÄN</t>
        </is>
      </c>
      <c r="G17" t="inlineStr">
        <is>
          <t>MULLSJÖ</t>
        </is>
      </c>
      <c r="H17" t="inlineStr">
        <is>
          <t>Kyrkan</t>
        </is>
      </c>
      <c r="I17" t="n">
        <v>4.8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HYPERLINK("https://klasma.github.io/Logging_0642/artfynd/A 15498-2024 artfynd.xlsx", "A 15498-2024")</f>
        <v/>
      </c>
      <c r="X17">
        <f>HYPERLINK("https://klasma.github.io/Logging_0642/kartor/A 15498-2024 karta.png", "A 15498-2024")</f>
        <v/>
      </c>
      <c r="Y17">
        <f>HYPERLINK("https://klasma.github.io/Logging_0642/kartor_geotiff/A 15498-2024 georefererad karta.tif", "A 15498-2024")</f>
        <v/>
      </c>
      <c r="Z17">
        <f>HYPERLINK("https://klasma.github.io/Logging_0642/knärot/A 15498-2024 karta knärot.png", "A 15498-2024")</f>
        <v/>
      </c>
      <c r="AA17">
        <f>HYPERLINK("https://klasma.github.io/Logging_0642/klagomål/A 15498-2024 FSC-klagomål.docx", "A 15498-2024")</f>
        <v/>
      </c>
      <c r="AB17">
        <f>HYPERLINK("https://klasma.github.io/Logging_0642/klagomålsmail/A 15498-2024 FSC-klagomål mail.docx", "A 15498-2024")</f>
        <v/>
      </c>
      <c r="AC17">
        <f>HYPERLINK("https://klasma.github.io/Logging_0642/tillsyn/A 15498-2024 tillsynsbegäran.docx", "A 15498-2024")</f>
        <v/>
      </c>
      <c r="AD17">
        <f>HYPERLINK("https://klasma.github.io/Logging_0642/tillsynsmail/A 15498-2024 tillsynsbegäran mail.docx", "A 15498-2024")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46304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17825-2026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46122</v>
      </c>
      <c r="E19" s="1" t="n">
        <v>46304</v>
      </c>
      <c r="F19" t="inlineStr">
        <is>
          <t>JÖNKÖPINGS LÄN</t>
        </is>
      </c>
      <c r="G19" t="inlineStr">
        <is>
          <t>MULLSJÖ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Fläcknycklar</t>
        </is>
      </c>
      <c r="W19">
        <f>HYPERLINK("https://klasma.github.io/Logging_0642/artfynd/A 17825-2026 artfynd.xlsx", "A 17825-2026")</f>
        <v/>
      </c>
      <c r="X19">
        <f>HYPERLINK("https://klasma.github.io/Logging_0642/kartor/A 17825-2026 karta.png", "A 17825-2026")</f>
        <v/>
      </c>
      <c r="Y19">
        <f>HYPERLINK("https://klasma.github.io/Logging_0642/kartor_geotiff/A 17825-2026 georefererad karta.tif", "A 17825-2026")</f>
        <v/>
      </c>
      <c r="AA19">
        <f>HYPERLINK("https://klasma.github.io/Logging_0642/klagomål/A 17825-2026 FSC-klagomål.docx", "A 17825-2026")</f>
        <v/>
      </c>
      <c r="AB19">
        <f>HYPERLINK("https://klasma.github.io/Logging_0642/klagomålsmail/A 17825-2026 FSC-klagomål mail.docx", "A 17825-2026")</f>
        <v/>
      </c>
      <c r="AC19">
        <f>HYPERLINK("https://klasma.github.io/Logging_0642/tillsyn/A 17825-2026 tillsynsbegäran.docx", "A 17825-2026")</f>
        <v/>
      </c>
      <c r="AD19">
        <f>HYPERLINK("https://klasma.github.io/Logging_0642/tillsynsmail/A 17825-2026 tillsynsbegäran mail.docx", "A 17825-2026")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46304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46006-2022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46304</v>
      </c>
      <c r="F21" t="inlineStr">
        <is>
          <t>JÖNKÖPINGS LÄN</t>
        </is>
      </c>
      <c r="G21" t="inlineStr">
        <is>
          <t>MULLSJÖ</t>
        </is>
      </c>
      <c r="I21" t="n">
        <v>3.4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HYPERLINK("https://klasma.github.io/Logging_0642/artfynd/A 46006-2022 artfynd.xlsx", "A 46006-2022")</f>
        <v/>
      </c>
      <c r="X21">
        <f>HYPERLINK("https://klasma.github.io/Logging_0642/kartor/A 46006-2022 karta.png", "A 46006-2022")</f>
        <v/>
      </c>
      <c r="Y21">
        <f>HYPERLINK("https://klasma.github.io/Logging_0642/kartor_geotiff/A 46006-2022 georefererad karta.tif", "A 46006-2022")</f>
        <v/>
      </c>
      <c r="AA21">
        <f>HYPERLINK("https://klasma.github.io/Logging_0642/klagomål/A 46006-2022 FSC-klagomål.docx", "A 46006-2022")</f>
        <v/>
      </c>
      <c r="AB21">
        <f>HYPERLINK("https://klasma.github.io/Logging_0642/klagomålsmail/A 46006-2022 FSC-klagomål mail.docx", "A 46006-2022")</f>
        <v/>
      </c>
      <c r="AC21">
        <f>HYPERLINK("https://klasma.github.io/Logging_0642/tillsyn/A 46006-2022 tillsynsbegäran.docx", "A 46006-2022")</f>
        <v/>
      </c>
      <c r="AD21">
        <f>HYPERLINK("https://klasma.github.io/Logging_0642/tillsynsmail/A 46006-2022 tillsynsbegäran mail.docx", "A 46006-2022")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46304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46304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46304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46304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46304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44654-2023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46304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44654-2023 artfynd.xlsx", "A 44654-2023")</f>
        <v/>
      </c>
      <c r="X27">
        <f>HYPERLINK("https://klasma.github.io/Logging_0642/kartor/A 44654-2023 karta.png", "A 44654-2023")</f>
        <v/>
      </c>
      <c r="Y27">
        <f>HYPERLINK("https://klasma.github.io/Logging_0642/kartor_geotiff/A 44654-2023 georefererad karta.tif", "A 44654-2023")</f>
        <v/>
      </c>
      <c r="AA27">
        <f>HYPERLINK("https://klasma.github.io/Logging_0642/klagomål/A 44654-2023 FSC-klagomål.docx", "A 44654-2023")</f>
        <v/>
      </c>
      <c r="AB27">
        <f>HYPERLINK("https://klasma.github.io/Logging_0642/klagomålsmail/A 44654-2023 FSC-klagomål mail.docx", "A 44654-2023")</f>
        <v/>
      </c>
      <c r="AC27">
        <f>HYPERLINK("https://klasma.github.io/Logging_0642/tillsyn/A 44654-2023 tillsynsbegäran.docx", "A 44654-2023")</f>
        <v/>
      </c>
      <c r="AD27">
        <f>HYPERLINK("https://klasma.github.io/Logging_0642/tillsynsmail/A 44654-2023 tillsynsbegäran mail.docx", "A 44654-2023")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46304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46304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46304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46304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46304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57229-2021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44483</v>
      </c>
      <c r="E33" s="1" t="n">
        <v>46304</v>
      </c>
      <c r="F33" t="inlineStr">
        <is>
          <t>JÖNKÖPINGS LÄN</t>
        </is>
      </c>
      <c r="G33" t="inlineStr">
        <is>
          <t>MULLSJÖ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46304</v>
      </c>
      <c r="F34" t="inlineStr">
        <is>
          <t>JÖNKÖPINGS LÄN</t>
        </is>
      </c>
      <c r="G34" t="inlineStr">
        <is>
          <t>MULLSJÖ</t>
        </is>
      </c>
      <c r="I34" t="n">
        <v>16.8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44649</v>
      </c>
      <c r="E35" s="1" t="n">
        <v>46304</v>
      </c>
      <c r="F35" t="inlineStr">
        <is>
          <t>JÖNKÖPINGS LÄN</t>
        </is>
      </c>
      <c r="G35" t="inlineStr">
        <is>
          <t>MULLSJÖ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44503</v>
      </c>
      <c r="E36" s="1" t="n">
        <v>46304</v>
      </c>
      <c r="F36" t="inlineStr">
        <is>
          <t>JÖNKÖPINGS LÄN</t>
        </is>
      </c>
      <c r="G36" t="inlineStr">
        <is>
          <t>MULLSJÖ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46304</v>
      </c>
      <c r="F37" t="inlineStr">
        <is>
          <t>JÖNKÖPINGS LÄN</t>
        </is>
      </c>
      <c r="G37" t="inlineStr">
        <is>
          <t>MULLSJÖ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44707</v>
      </c>
      <c r="E38" s="1" t="n">
        <v>46304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44665</v>
      </c>
      <c r="E39" s="1" t="n">
        <v>46304</v>
      </c>
      <c r="F39" t="inlineStr">
        <is>
          <t>JÖNKÖPINGS LÄN</t>
        </is>
      </c>
      <c r="G39" t="inlineStr">
        <is>
          <t>MULLSJÖ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46304</v>
      </c>
      <c r="F40" t="inlineStr">
        <is>
          <t>JÖNKÖPINGS LÄN</t>
        </is>
      </c>
      <c r="G40" t="inlineStr">
        <is>
          <t>MULLSJÖ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46304</v>
      </c>
      <c r="F41" t="inlineStr">
        <is>
          <t>JÖNKÖPINGS LÄN</t>
        </is>
      </c>
      <c r="G41" t="inlineStr">
        <is>
          <t>MULLSJÖ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45682</v>
      </c>
      <c r="E42" s="1" t="n">
        <v>46304</v>
      </c>
      <c r="F42" t="inlineStr">
        <is>
          <t>JÖNKÖPINGS LÄN</t>
        </is>
      </c>
      <c r="G42" t="inlineStr">
        <is>
          <t>MULLSJÖ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45543</v>
      </c>
      <c r="E43" s="1" t="n">
        <v>46304</v>
      </c>
      <c r="F43" t="inlineStr">
        <is>
          <t>JÖNKÖPINGS LÄN</t>
        </is>
      </c>
      <c r="G43" t="inlineStr">
        <is>
          <t>MULLSJÖ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37798-2024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45543</v>
      </c>
      <c r="E44" s="1" t="n">
        <v>46304</v>
      </c>
      <c r="F44" t="inlineStr">
        <is>
          <t>JÖNKÖPINGS LÄN</t>
        </is>
      </c>
      <c r="G44" t="inlineStr">
        <is>
          <t>MULLSJÖ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21687-2022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44707</v>
      </c>
      <c r="E45" s="1" t="n">
        <v>46304</v>
      </c>
      <c r="F45" t="inlineStr">
        <is>
          <t>JÖNKÖPINGS LÄN</t>
        </is>
      </c>
      <c r="G45" t="inlineStr">
        <is>
          <t>MULLSJÖ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28791-2024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45478</v>
      </c>
      <c r="E46" s="1" t="n">
        <v>46304</v>
      </c>
      <c r="F46" t="inlineStr">
        <is>
          <t>JÖNKÖPINGS LÄN</t>
        </is>
      </c>
      <c r="G46" t="inlineStr">
        <is>
          <t>MULLSJÖ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71048-2021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46304</v>
      </c>
      <c r="F47" t="inlineStr">
        <is>
          <t>JÖNKÖPINGS LÄN</t>
        </is>
      </c>
      <c r="G47" t="inlineStr">
        <is>
          <t>MULLSJÖ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46304</v>
      </c>
      <c r="F48" t="inlineStr">
        <is>
          <t>JÖNKÖPINGS LÄN</t>
        </is>
      </c>
      <c r="G48" t="inlineStr">
        <is>
          <t>MULLSJÖ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46304</v>
      </c>
      <c r="F49" t="inlineStr">
        <is>
          <t>JÖNKÖPINGS LÄN</t>
        </is>
      </c>
      <c r="G49" t="inlineStr">
        <is>
          <t>MULLSJÖ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49734-2024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46304</v>
      </c>
      <c r="F50" t="inlineStr">
        <is>
          <t>JÖNKÖPINGS LÄN</t>
        </is>
      </c>
      <c r="G50" t="inlineStr">
        <is>
          <t>MULLSJÖ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45521</v>
      </c>
      <c r="E51" s="1" t="n">
        <v>46304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59503-2024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46304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46304</v>
      </c>
      <c r="F53" t="inlineStr">
        <is>
          <t>JÖNKÖPINGS LÄN</t>
        </is>
      </c>
      <c r="G53" t="inlineStr">
        <is>
          <t>MULLSJÖ</t>
        </is>
      </c>
      <c r="I53" t="n">
        <v>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6690-2023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44966</v>
      </c>
      <c r="E54" s="1" t="n">
        <v>46304</v>
      </c>
      <c r="F54" t="inlineStr">
        <is>
          <t>JÖNKÖPINGS LÄN</t>
        </is>
      </c>
      <c r="G54" t="inlineStr">
        <is>
          <t>MULLSJÖ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45169</v>
      </c>
      <c r="E55" s="1" t="n">
        <v>46304</v>
      </c>
      <c r="F55" t="inlineStr">
        <is>
          <t>JÖNKÖPINGS LÄN</t>
        </is>
      </c>
      <c r="G55" t="inlineStr">
        <is>
          <t>MULLSJÖ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45529</v>
      </c>
      <c r="E56" s="1" t="n">
        <v>46304</v>
      </c>
      <c r="F56" t="inlineStr">
        <is>
          <t>JÖNKÖPINGS LÄN</t>
        </is>
      </c>
      <c r="G56" t="inlineStr">
        <is>
          <t>MULLSJÖ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45686</v>
      </c>
      <c r="E57" s="1" t="n">
        <v>46304</v>
      </c>
      <c r="F57" t="inlineStr">
        <is>
          <t>JÖNKÖPINGS LÄN</t>
        </is>
      </c>
      <c r="G57" t="inlineStr">
        <is>
          <t>MULLSJÖ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45495</v>
      </c>
      <c r="E58" s="1" t="n">
        <v>46304</v>
      </c>
      <c r="F58" t="inlineStr">
        <is>
          <t>JÖNKÖPINGS LÄN</t>
        </is>
      </c>
      <c r="G58" t="inlineStr">
        <is>
          <t>MULLSJÖ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44742</v>
      </c>
      <c r="E59" s="1" t="n">
        <v>46304</v>
      </c>
      <c r="F59" t="inlineStr">
        <is>
          <t>JÖNKÖPINGS LÄN</t>
        </is>
      </c>
      <c r="G59" t="inlineStr">
        <is>
          <t>MULLSJÖ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46304</v>
      </c>
      <c r="F60" t="inlineStr">
        <is>
          <t>JÖNKÖPINGS LÄN</t>
        </is>
      </c>
      <c r="G60" t="inlineStr">
        <is>
          <t>MULLSJÖ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12351-2026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46088</v>
      </c>
      <c r="E61" s="1" t="n">
        <v>46304</v>
      </c>
      <c r="F61" t="inlineStr">
        <is>
          <t>JÖNKÖPINGS LÄN</t>
        </is>
      </c>
      <c r="G61" t="inlineStr">
        <is>
          <t>MULLSJÖ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45048</v>
      </c>
      <c r="E62" s="1" t="n">
        <v>46304</v>
      </c>
      <c r="F62" t="inlineStr">
        <is>
          <t>JÖNKÖPINGS LÄN</t>
        </is>
      </c>
      <c r="G62" t="inlineStr">
        <is>
          <t>MULLSJÖ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44964</v>
      </c>
      <c r="E63" s="1" t="n">
        <v>46304</v>
      </c>
      <c r="F63" t="inlineStr">
        <is>
          <t>JÖNKÖPINGS LÄN</t>
        </is>
      </c>
      <c r="G63" t="inlineStr">
        <is>
          <t>MULLSJÖ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46304</v>
      </c>
      <c r="F64" t="inlineStr">
        <is>
          <t>JÖNKÖPINGS LÄN</t>
        </is>
      </c>
      <c r="G64" t="inlineStr">
        <is>
          <t>MULLSJÖ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46304</v>
      </c>
      <c r="F65" t="inlineStr">
        <is>
          <t>JÖNKÖPINGS LÄN</t>
        </is>
      </c>
      <c r="G65" t="inlineStr">
        <is>
          <t>MULLSJÖ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45875</v>
      </c>
      <c r="E66" s="1" t="n">
        <v>46304</v>
      </c>
      <c r="F66" t="inlineStr">
        <is>
          <t>JÖNKÖPINGS LÄN</t>
        </is>
      </c>
      <c r="G66" t="inlineStr">
        <is>
          <t>MULLSJÖ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45875</v>
      </c>
      <c r="E67" s="1" t="n">
        <v>46304</v>
      </c>
      <c r="F67" t="inlineStr">
        <is>
          <t>JÖNKÖPINGS LÄN</t>
        </is>
      </c>
      <c r="G67" t="inlineStr">
        <is>
          <t>MULLSJÖ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37427-2025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45877</v>
      </c>
      <c r="E68" s="1" t="n">
        <v>46304</v>
      </c>
      <c r="F68" t="inlineStr">
        <is>
          <t>JÖNKÖPINGS LÄN</t>
        </is>
      </c>
      <c r="G68" t="inlineStr">
        <is>
          <t>MULLSJÖ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45877</v>
      </c>
      <c r="E69" s="1" t="n">
        <v>46304</v>
      </c>
      <c r="F69" t="inlineStr">
        <is>
          <t>JÖNKÖPINGS LÄN</t>
        </is>
      </c>
      <c r="G69" t="inlineStr">
        <is>
          <t>MULLSJÖ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46304</v>
      </c>
      <c r="F70" t="inlineStr">
        <is>
          <t>JÖNKÖPINGS LÄN</t>
        </is>
      </c>
      <c r="G70" t="inlineStr">
        <is>
          <t>MULLSJÖ</t>
        </is>
      </c>
      <c r="I70" t="n">
        <v>15.1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45553</v>
      </c>
      <c r="E71" s="1" t="n">
        <v>46304</v>
      </c>
      <c r="F71" t="inlineStr">
        <is>
          <t>JÖNKÖPINGS LÄN</t>
        </is>
      </c>
      <c r="G71" t="inlineStr">
        <is>
          <t>MULLSJÖ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42155-2025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45904</v>
      </c>
      <c r="E72" s="1" t="n">
        <v>46304</v>
      </c>
      <c r="F72" t="inlineStr">
        <is>
          <t>JÖNKÖPINGS LÄN</t>
        </is>
      </c>
      <c r="G72" t="inlineStr">
        <is>
          <t>MULLSJÖ</t>
        </is>
      </c>
      <c r="H72" t="inlineStr">
        <is>
          <t>Kyrkan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14226-2024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45393</v>
      </c>
      <c r="E73" s="1" t="n">
        <v>46304</v>
      </c>
      <c r="F73" t="inlineStr">
        <is>
          <t>JÖNKÖPINGS LÄN</t>
        </is>
      </c>
      <c r="G73" t="inlineStr">
        <is>
          <t>MULLSJÖ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46304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57500-2022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44896</v>
      </c>
      <c r="E75" s="1" t="n">
        <v>46304</v>
      </c>
      <c r="F75" t="inlineStr">
        <is>
          <t>JÖNKÖPINGS LÄN</t>
        </is>
      </c>
      <c r="G75" t="inlineStr">
        <is>
          <t>MULLSJÖ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45676</v>
      </c>
      <c r="E76" s="1" t="n">
        <v>46304</v>
      </c>
      <c r="F76" t="inlineStr">
        <is>
          <t>JÖNKÖPINGS LÄN</t>
        </is>
      </c>
      <c r="G76" t="inlineStr">
        <is>
          <t>MULLSJÖ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46304</v>
      </c>
      <c r="F77" t="inlineStr">
        <is>
          <t>JÖNKÖPINGS LÄN</t>
        </is>
      </c>
      <c r="G77" t="inlineStr">
        <is>
          <t>MULLSJÖ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46304</v>
      </c>
      <c r="F78" t="inlineStr">
        <is>
          <t>JÖNKÖPINGS LÄN</t>
        </is>
      </c>
      <c r="G78" t="inlineStr">
        <is>
          <t>MULLSJÖ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46304</v>
      </c>
      <c r="F79" t="inlineStr">
        <is>
          <t>JÖNKÖPINGS LÄN</t>
        </is>
      </c>
      <c r="G79" t="inlineStr">
        <is>
          <t>MULLSJÖ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44700</v>
      </c>
      <c r="E80" s="1" t="n">
        <v>46304</v>
      </c>
      <c r="F80" t="inlineStr">
        <is>
          <t>JÖNKÖPINGS LÄN</t>
        </is>
      </c>
      <c r="G80" t="inlineStr">
        <is>
          <t>MULLSJÖ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46304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46304</v>
      </c>
      <c r="F82" t="inlineStr">
        <is>
          <t>JÖNKÖPINGS LÄN</t>
        </is>
      </c>
      <c r="G82" t="inlineStr">
        <is>
          <t>MULLSJÖ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46304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46304</v>
      </c>
      <c r="F84" t="inlineStr">
        <is>
          <t>JÖNKÖPINGS LÄN</t>
        </is>
      </c>
      <c r="G84" t="inlineStr">
        <is>
          <t>MULLSJÖ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44964</v>
      </c>
      <c r="E85" s="1" t="n">
        <v>46304</v>
      </c>
      <c r="F85" t="inlineStr">
        <is>
          <t>JÖNKÖPINGS LÄN</t>
        </is>
      </c>
      <c r="G85" t="inlineStr">
        <is>
          <t>MULLSJÖ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46304</v>
      </c>
      <c r="F86" t="inlineStr">
        <is>
          <t>JÖNKÖPINGS LÄN</t>
        </is>
      </c>
      <c r="G86" t="inlineStr">
        <is>
          <t>MULLSJÖ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45214</v>
      </c>
      <c r="E87" s="1" t="n">
        <v>46304</v>
      </c>
      <c r="F87" t="inlineStr">
        <is>
          <t>JÖNKÖPINGS LÄN</t>
        </is>
      </c>
      <c r="G87" t="inlineStr">
        <is>
          <t>MULLSJÖ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45953</v>
      </c>
      <c r="E88" s="1" t="n">
        <v>46304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46304</v>
      </c>
      <c r="F89" t="inlineStr">
        <is>
          <t>JÖNKÖPINGS LÄN</t>
        </is>
      </c>
      <c r="G89" t="inlineStr">
        <is>
          <t>MULLSJÖ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18421-2026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46126</v>
      </c>
      <c r="E90" s="1" t="n">
        <v>46304</v>
      </c>
      <c r="F90" t="inlineStr">
        <is>
          <t>JÖNKÖPINGS LÄN</t>
        </is>
      </c>
      <c r="G90" t="inlineStr">
        <is>
          <t>MULLSJÖ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35244-2023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46304</v>
      </c>
      <c r="F91" t="inlineStr">
        <is>
          <t>JÖNKÖPINGS LÄN</t>
        </is>
      </c>
      <c r="G91" t="inlineStr">
        <is>
          <t>MULLSJÖ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46304</v>
      </c>
      <c r="F92" t="inlineStr">
        <is>
          <t>JÖNKÖPINGS LÄN</t>
        </is>
      </c>
      <c r="G92" t="inlineStr">
        <is>
          <t>MULLSJÖ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45755</v>
      </c>
      <c r="E93" s="1" t="n">
        <v>46304</v>
      </c>
      <c r="F93" t="inlineStr">
        <is>
          <t>JÖNKÖPINGS LÄN</t>
        </is>
      </c>
      <c r="G93" t="inlineStr">
        <is>
          <t>MULLSJÖ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45752</v>
      </c>
      <c r="E94" s="1" t="n">
        <v>46304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45752</v>
      </c>
      <c r="E95" s="1" t="n">
        <v>46304</v>
      </c>
      <c r="F95" t="inlineStr">
        <is>
          <t>JÖNKÖPINGS LÄN</t>
        </is>
      </c>
      <c r="G95" t="inlineStr">
        <is>
          <t>MULLSJÖ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45752</v>
      </c>
      <c r="E96" s="1" t="n">
        <v>46304</v>
      </c>
      <c r="F96" t="inlineStr">
        <is>
          <t>JÖNKÖPINGS LÄN</t>
        </is>
      </c>
      <c r="G96" t="inlineStr">
        <is>
          <t>MULLSJÖ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46304</v>
      </c>
      <c r="F97" t="inlineStr">
        <is>
          <t>JÖNKÖPINGS LÄN</t>
        </is>
      </c>
      <c r="G97" t="inlineStr">
        <is>
          <t>MULLSJÖ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40960-2023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45169</v>
      </c>
      <c r="E98" s="1" t="n">
        <v>46304</v>
      </c>
      <c r="F98" t="inlineStr">
        <is>
          <t>JÖNKÖPINGS LÄN</t>
        </is>
      </c>
      <c r="G98" t="inlineStr">
        <is>
          <t>MULLSJÖ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8371-2023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44977</v>
      </c>
      <c r="E99" s="1" t="n">
        <v>46304</v>
      </c>
      <c r="F99" t="inlineStr">
        <is>
          <t>JÖNKÖPINGS LÄN</t>
        </is>
      </c>
      <c r="G99" t="inlineStr">
        <is>
          <t>MULLSJÖ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7654-2022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44607</v>
      </c>
      <c r="E100" s="1" t="n">
        <v>46304</v>
      </c>
      <c r="F100" t="inlineStr">
        <is>
          <t>JÖNKÖPINGS LÄN</t>
        </is>
      </c>
      <c r="G100" t="inlineStr">
        <is>
          <t>MULLSJÖ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16573-2025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45752</v>
      </c>
      <c r="E101" s="1" t="n">
        <v>46304</v>
      </c>
      <c r="F101" t="inlineStr">
        <is>
          <t>JÖNKÖPINGS LÄN</t>
        </is>
      </c>
      <c r="G101" t="inlineStr">
        <is>
          <t>MULLSJÖ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44670</v>
      </c>
      <c r="E102" s="1" t="n">
        <v>46304</v>
      </c>
      <c r="F102" t="inlineStr">
        <is>
          <t>JÖNKÖPINGS LÄN</t>
        </is>
      </c>
      <c r="G102" t="inlineStr">
        <is>
          <t>MULLSJÖ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46007</v>
      </c>
      <c r="E103" s="1" t="n">
        <v>46304</v>
      </c>
      <c r="F103" t="inlineStr">
        <is>
          <t>JÖNKÖPINGS LÄN</t>
        </is>
      </c>
      <c r="G103" t="inlineStr">
        <is>
          <t>MULLSJÖ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46304</v>
      </c>
      <c r="F104" t="inlineStr">
        <is>
          <t>JÖNKÖPINGS LÄN</t>
        </is>
      </c>
      <c r="G104" t="inlineStr">
        <is>
          <t>MULLSJÖ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46304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45313</v>
      </c>
      <c r="E106" s="1" t="n">
        <v>46304</v>
      </c>
      <c r="F106" t="inlineStr">
        <is>
          <t>JÖNKÖPINGS LÄN</t>
        </is>
      </c>
      <c r="G106" t="inlineStr">
        <is>
          <t>MULLSJÖ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46304</v>
      </c>
      <c r="F107" t="inlineStr">
        <is>
          <t>JÖNKÖPINGS LÄN</t>
        </is>
      </c>
      <c r="G107" t="inlineStr">
        <is>
          <t>MULLSJÖ</t>
        </is>
      </c>
      <c r="I107" t="n">
        <v>7.7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45730</v>
      </c>
      <c r="E108" s="1" t="n">
        <v>46304</v>
      </c>
      <c r="F108" t="inlineStr">
        <is>
          <t>JÖNKÖPINGS LÄN</t>
        </is>
      </c>
      <c r="G108" t="inlineStr">
        <is>
          <t>MULLSJÖ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46304</v>
      </c>
      <c r="F109" t="inlineStr">
        <is>
          <t>JÖNKÖPINGS LÄN</t>
        </is>
      </c>
      <c r="G109" t="inlineStr">
        <is>
          <t>MULLSJÖ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46304</v>
      </c>
      <c r="F110" t="inlineStr">
        <is>
          <t>JÖNKÖPINGS LÄN</t>
        </is>
      </c>
      <c r="G110" t="inlineStr">
        <is>
          <t>MULLSJÖ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46304</v>
      </c>
      <c r="F111" t="inlineStr">
        <is>
          <t>JÖNKÖPINGS LÄN</t>
        </is>
      </c>
      <c r="G111" t="inlineStr">
        <is>
          <t>MULLSJÖ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46304</v>
      </c>
      <c r="F112" t="inlineStr">
        <is>
          <t>JÖNKÖPINGS LÄN</t>
        </is>
      </c>
      <c r="G112" t="inlineStr">
        <is>
          <t>MULLSJÖ</t>
        </is>
      </c>
      <c r="H112" t="inlineStr">
        <is>
          <t>Kyrkan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45083</v>
      </c>
      <c r="E113" s="1" t="n">
        <v>46304</v>
      </c>
      <c r="F113" t="inlineStr">
        <is>
          <t>JÖNKÖPINGS LÄN</t>
        </is>
      </c>
      <c r="G113" t="inlineStr">
        <is>
          <t>MULLSJÖ</t>
        </is>
      </c>
      <c r="I113" t="n">
        <v>13.1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46304</v>
      </c>
      <c r="F114" t="inlineStr">
        <is>
          <t>JÖNKÖPINGS LÄN</t>
        </is>
      </c>
      <c r="G114" t="inlineStr">
        <is>
          <t>MULLSJÖ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44970</v>
      </c>
      <c r="E115" s="1" t="n">
        <v>46304</v>
      </c>
      <c r="F115" t="inlineStr">
        <is>
          <t>JÖNKÖPINGS LÄN</t>
        </is>
      </c>
      <c r="G115" t="inlineStr">
        <is>
          <t>MULLSJÖ</t>
        </is>
      </c>
      <c r="H115" t="inlineStr">
        <is>
          <t>Kommuner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  <c r="Z115">
        <f>HYPERLINK("https://klasma.github.io/Logging_0642/knärot/A 7181-2023 karta knärot.png", "A 7181-2023")</f>
        <v/>
      </c>
      <c r="AA115">
        <f>HYPERLINK("https://klasma.github.io/Logging_0642/klagomål/A 7181-2023 FSC-klagomål.docx", "A 7181-2023")</f>
        <v/>
      </c>
      <c r="AB115">
        <f>HYPERLINK("https://klasma.github.io/Logging_0642/klagomålsmail/A 7181-2023 FSC-klagomål mail.docx", "A 7181-2023")</f>
        <v/>
      </c>
      <c r="AC115">
        <f>HYPERLINK("https://klasma.github.io/Logging_0642/tillsyn/A 7181-2023 tillsynsbegäran.docx", "A 7181-2023")</f>
        <v/>
      </c>
      <c r="AD115">
        <f>HYPERLINK("https://klasma.github.io/Logging_0642/tillsynsmail/A 7181-2023 tillsynsbegäran mail.docx", "A 7181-2023")</f>
        <v/>
      </c>
    </row>
    <row r="116" ht="15" customHeight="1">
      <c r="A116" t="inlineStr">
        <is>
          <t>A 4355-2023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44954</v>
      </c>
      <c r="E116" s="1" t="n">
        <v>46304</v>
      </c>
      <c r="F116" t="inlineStr">
        <is>
          <t>JÖNKÖPINGS LÄN</t>
        </is>
      </c>
      <c r="G116" t="inlineStr">
        <is>
          <t>MULLSJÖ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45313</v>
      </c>
      <c r="E117" s="1" t="n">
        <v>46304</v>
      </c>
      <c r="F117" t="inlineStr">
        <is>
          <t>JÖNKÖPINGS LÄN</t>
        </is>
      </c>
      <c r="G117" t="inlineStr">
        <is>
          <t>MULLSJÖ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46304</v>
      </c>
      <c r="F118" t="inlineStr">
        <is>
          <t>JÖNKÖPINGS LÄN</t>
        </is>
      </c>
      <c r="G118" t="inlineStr">
        <is>
          <t>MULLSJÖ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39353-2022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46304</v>
      </c>
      <c r="F119" t="inlineStr">
        <is>
          <t>JÖNKÖPINGS LÄN</t>
        </is>
      </c>
      <c r="G119" t="inlineStr">
        <is>
          <t>MULLSJÖ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46304</v>
      </c>
      <c r="F120" t="inlineStr">
        <is>
          <t>JÖNKÖPINGS LÄN</t>
        </is>
      </c>
      <c r="G120" t="inlineStr">
        <is>
          <t>MULLSJÖ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23789-2024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45455</v>
      </c>
      <c r="E121" s="1" t="n">
        <v>46304</v>
      </c>
      <c r="F121" t="inlineStr">
        <is>
          <t>JÖNKÖPINGS LÄN</t>
        </is>
      </c>
      <c r="G121" t="inlineStr">
        <is>
          <t>MULLSJÖ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46304</v>
      </c>
      <c r="F122" t="inlineStr">
        <is>
          <t>JÖNKÖPINGS LÄN</t>
        </is>
      </c>
      <c r="G122" t="inlineStr">
        <is>
          <t>MULLSJÖ</t>
        </is>
      </c>
      <c r="I122" t="n">
        <v>10.9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46304</v>
      </c>
      <c r="F123" t="inlineStr">
        <is>
          <t>JÖNKÖPINGS LÄN</t>
        </is>
      </c>
      <c r="G123" t="inlineStr">
        <is>
          <t>MULLSJÖ</t>
        </is>
      </c>
      <c r="I123" t="n">
        <v>14.1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44954</v>
      </c>
      <c r="E124" s="1" t="n">
        <v>46304</v>
      </c>
      <c r="F124" t="inlineStr">
        <is>
          <t>JÖNKÖPINGS LÄN</t>
        </is>
      </c>
      <c r="G124" t="inlineStr">
        <is>
          <t>MULLSJÖ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44954</v>
      </c>
      <c r="E125" s="1" t="n">
        <v>46304</v>
      </c>
      <c r="F125" t="inlineStr">
        <is>
          <t>JÖNKÖPINGS LÄN</t>
        </is>
      </c>
      <c r="G125" t="inlineStr">
        <is>
          <t>MULLSJÖ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12273-2023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44998</v>
      </c>
      <c r="E126" s="1" t="n">
        <v>46304</v>
      </c>
      <c r="F126" t="inlineStr">
        <is>
          <t>JÖNKÖPINGS LÄN</t>
        </is>
      </c>
      <c r="G126" t="inlineStr">
        <is>
          <t>MULLSJÖ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50297-2022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46304</v>
      </c>
      <c r="F127" t="inlineStr">
        <is>
          <t>JÖNKÖPINGS LÄN</t>
        </is>
      </c>
      <c r="G127" t="inlineStr">
        <is>
          <t>MULLSJÖ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44993</v>
      </c>
      <c r="E128" s="1" t="n">
        <v>46304</v>
      </c>
      <c r="F128" t="inlineStr">
        <is>
          <t>JÖNKÖPINGS LÄN</t>
        </is>
      </c>
      <c r="G128" t="inlineStr">
        <is>
          <t>MULLSJÖ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56876-2023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45244</v>
      </c>
      <c r="E129" s="1" t="n">
        <v>46304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45702</v>
      </c>
      <c r="E130" s="1" t="n">
        <v>46304</v>
      </c>
      <c r="F130" t="inlineStr">
        <is>
          <t>JÖNKÖPINGS LÄN</t>
        </is>
      </c>
      <c r="G130" t="inlineStr">
        <is>
          <t>MULLSJÖ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46304</v>
      </c>
      <c r="F131" t="inlineStr">
        <is>
          <t>JÖNKÖPINGS LÄN</t>
        </is>
      </c>
      <c r="G131" t="inlineStr">
        <is>
          <t>MULLSJÖ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46304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46304</v>
      </c>
      <c r="F133" t="inlineStr">
        <is>
          <t>JÖNKÖPINGS LÄN</t>
        </is>
      </c>
      <c r="G133" t="inlineStr">
        <is>
          <t>MULLSJÖ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44656</v>
      </c>
      <c r="E134" s="1" t="n">
        <v>46304</v>
      </c>
      <c r="F134" t="inlineStr">
        <is>
          <t>JÖNKÖPINGS LÄN</t>
        </is>
      </c>
      <c r="G134" t="inlineStr">
        <is>
          <t>MULLSJÖ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26757-2024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46304</v>
      </c>
      <c r="F135" t="inlineStr">
        <is>
          <t>JÖNKÖPINGS LÄN</t>
        </is>
      </c>
      <c r="G135" t="inlineStr">
        <is>
          <t>MULLSJÖ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46197</v>
      </c>
      <c r="E136" s="1" t="n">
        <v>46304</v>
      </c>
      <c r="F136" t="inlineStr">
        <is>
          <t>JÖNKÖPINGS LÄN</t>
        </is>
      </c>
      <c r="G136" t="inlineStr">
        <is>
          <t>MULLSJÖ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46197</v>
      </c>
      <c r="E137" s="1" t="n">
        <v>46304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44832</v>
      </c>
      <c r="E138" s="1" t="n">
        <v>46304</v>
      </c>
      <c r="F138" t="inlineStr">
        <is>
          <t>JÖNKÖPINGS LÄN</t>
        </is>
      </c>
      <c r="G138" t="inlineStr">
        <is>
          <t>MULLSJÖ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45321</v>
      </c>
      <c r="E139" s="1" t="n">
        <v>46304</v>
      </c>
      <c r="F139" t="inlineStr">
        <is>
          <t>JÖNKÖPINGS LÄN</t>
        </is>
      </c>
      <c r="G139" t="inlineStr">
        <is>
          <t>MULLSJÖ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46304</v>
      </c>
      <c r="F140" t="inlineStr">
        <is>
          <t>JÖNKÖPINGS LÄN</t>
        </is>
      </c>
      <c r="G140" t="inlineStr">
        <is>
          <t>MULLSJÖ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45401</v>
      </c>
      <c r="E141" s="1" t="n">
        <v>46304</v>
      </c>
      <c r="F141" t="inlineStr">
        <is>
          <t>JÖNKÖPINGS LÄN</t>
        </is>
      </c>
      <c r="G141" t="inlineStr">
        <is>
          <t>MULLSJÖ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46304</v>
      </c>
      <c r="F142" t="inlineStr">
        <is>
          <t>JÖNKÖPINGS LÄN</t>
        </is>
      </c>
      <c r="G142" t="inlineStr">
        <is>
          <t>MULLSJÖ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46304</v>
      </c>
      <c r="F143" t="inlineStr">
        <is>
          <t>JÖNKÖPINGS LÄN</t>
        </is>
      </c>
      <c r="G143" t="inlineStr">
        <is>
          <t>MULLSJÖ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46216</v>
      </c>
      <c r="E144" s="1" t="n">
        <v>46304</v>
      </c>
      <c r="F144" t="inlineStr">
        <is>
          <t>JÖNKÖPINGS LÄN</t>
        </is>
      </c>
      <c r="G144" t="inlineStr">
        <is>
          <t>MULLSJÖ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46216</v>
      </c>
      <c r="E145" s="1" t="n">
        <v>46304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44952</v>
      </c>
      <c r="E146" s="1" t="n">
        <v>46304</v>
      </c>
      <c r="F146" t="inlineStr">
        <is>
          <t>JÖNKÖPINGS LÄN</t>
        </is>
      </c>
      <c r="G146" t="inlineStr">
        <is>
          <t>MULLSJÖ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46304</v>
      </c>
      <c r="F147" t="inlineStr">
        <is>
          <t>JÖNKÖPINGS LÄN</t>
        </is>
      </c>
      <c r="G147" t="inlineStr">
        <is>
          <t>MULLSJÖ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46304</v>
      </c>
      <c r="F148" t="inlineStr">
        <is>
          <t>JÖNKÖPINGS LÄN</t>
        </is>
      </c>
      <c r="G148" t="inlineStr">
        <is>
          <t>MULLSJÖ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46268</v>
      </c>
      <c r="E149" s="1" t="n">
        <v>46304</v>
      </c>
      <c r="F149" t="inlineStr">
        <is>
          <t>JÖNKÖPINGS LÄN</t>
        </is>
      </c>
      <c r="G149" t="inlineStr">
        <is>
          <t>MULLSJÖ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23128-2024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46304</v>
      </c>
      <c r="F150" t="inlineStr">
        <is>
          <t>JÖNKÖPINGS LÄN</t>
        </is>
      </c>
      <c r="G150" t="inlineStr">
        <is>
          <t>MULLSJÖ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36413-2026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46304</v>
      </c>
      <c r="F151" t="inlineStr">
        <is>
          <t>JÖNKÖPINGS LÄN</t>
        </is>
      </c>
      <c r="G151" t="inlineStr">
        <is>
          <t>MULLSJÖ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45016</v>
      </c>
      <c r="E152" s="1" t="n">
        <v>46304</v>
      </c>
      <c r="F152" t="inlineStr">
        <is>
          <t>JÖNKÖPINGS LÄN</t>
        </is>
      </c>
      <c r="G152" t="inlineStr">
        <is>
          <t>MULLSJÖ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45752</v>
      </c>
      <c r="E153" s="1" t="n">
        <v>46304</v>
      </c>
      <c r="F153" t="inlineStr">
        <is>
          <t>JÖNKÖPINGS LÄN</t>
        </is>
      </c>
      <c r="G153" t="inlineStr">
        <is>
          <t>MULLSJÖ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46304</v>
      </c>
      <c r="F154" t="inlineStr">
        <is>
          <t>JÖNKÖPINGS LÄN</t>
        </is>
      </c>
      <c r="G154" t="inlineStr">
        <is>
          <t>MULLSJÖ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46304</v>
      </c>
      <c r="F155" t="inlineStr">
        <is>
          <t>JÖNKÖPINGS LÄN</t>
        </is>
      </c>
      <c r="G155" t="inlineStr">
        <is>
          <t>MULLSJÖ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46304</v>
      </c>
      <c r="F156" t="inlineStr">
        <is>
          <t>JÖNKÖPINGS LÄN</t>
        </is>
      </c>
      <c r="G156" t="inlineStr">
        <is>
          <t>MULLSJÖ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46232</v>
      </c>
      <c r="E157" s="1" t="n">
        <v>46304</v>
      </c>
      <c r="F157" t="inlineStr">
        <is>
          <t>JÖNKÖPINGS LÄN</t>
        </is>
      </c>
      <c r="G157" t="inlineStr">
        <is>
          <t>MULLSJÖ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57423-2023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45246</v>
      </c>
      <c r="E158" s="1" t="n">
        <v>46304</v>
      </c>
      <c r="F158" t="inlineStr">
        <is>
          <t>JÖNKÖPINGS LÄN</t>
        </is>
      </c>
      <c r="G158" t="inlineStr">
        <is>
          <t>MULLSJÖ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64387-2023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45280</v>
      </c>
      <c r="E159" s="1" t="n">
        <v>46304</v>
      </c>
      <c r="F159" t="inlineStr">
        <is>
          <t>JÖNKÖPINGS LÄN</t>
        </is>
      </c>
      <c r="G159" t="inlineStr">
        <is>
          <t>MULLSJÖ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45324</v>
      </c>
      <c r="E160" s="1" t="n">
        <v>46304</v>
      </c>
      <c r="F160" t="inlineStr">
        <is>
          <t>JÖNKÖPINGS LÄN</t>
        </is>
      </c>
      <c r="G160" t="inlineStr">
        <is>
          <t>MULLSJÖ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46304</v>
      </c>
      <c r="F161" t="inlineStr">
        <is>
          <t>JÖNKÖPINGS LÄN</t>
        </is>
      </c>
      <c r="G161" t="inlineStr">
        <is>
          <t>MULLSJÖ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46304</v>
      </c>
      <c r="F162" t="inlineStr">
        <is>
          <t>JÖNKÖPINGS LÄN</t>
        </is>
      </c>
      <c r="G162" t="inlineStr">
        <is>
          <t>MULLSJÖ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46304</v>
      </c>
      <c r="F163" t="inlineStr">
        <is>
          <t>JÖNKÖPINGS LÄN</t>
        </is>
      </c>
      <c r="G163" t="inlineStr">
        <is>
          <t>MULLSJÖ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46304</v>
      </c>
      <c r="F164" t="inlineStr">
        <is>
          <t>JÖNKÖPINGS LÄN</t>
        </is>
      </c>
      <c r="G164" t="inlineStr">
        <is>
          <t>MULLSJÖ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46304</v>
      </c>
      <c r="F165" t="inlineStr">
        <is>
          <t>JÖNKÖPINGS LÄN</t>
        </is>
      </c>
      <c r="G165" t="inlineStr">
        <is>
          <t>MULLSJÖ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46304</v>
      </c>
      <c r="F166" t="inlineStr">
        <is>
          <t>JÖNKÖPINGS LÄN</t>
        </is>
      </c>
      <c r="G166" t="inlineStr">
        <is>
          <t>MULLSJÖ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46304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45740</v>
      </c>
      <c r="E168" s="1" t="n">
        <v>46304</v>
      </c>
      <c r="F168" t="inlineStr">
        <is>
          <t>JÖNKÖPINGS LÄN</t>
        </is>
      </c>
      <c r="G168" t="inlineStr">
        <is>
          <t>MULLSJÖ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45797</v>
      </c>
      <c r="E169" s="1" t="n">
        <v>46304</v>
      </c>
      <c r="F169" t="inlineStr">
        <is>
          <t>JÖNKÖPINGS LÄN</t>
        </is>
      </c>
      <c r="G169" t="inlineStr">
        <is>
          <t>MULLSJÖ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45740</v>
      </c>
      <c r="E170" s="1" t="n">
        <v>46304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46304</v>
      </c>
      <c r="F171" t="inlineStr">
        <is>
          <t>JÖNKÖPINGS LÄN</t>
        </is>
      </c>
      <c r="G171" t="inlineStr">
        <is>
          <t>MULLSJÖ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25863-2025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46304</v>
      </c>
      <c r="F172" t="inlineStr">
        <is>
          <t>JÖNKÖPINGS LÄN</t>
        </is>
      </c>
      <c r="G172" t="inlineStr">
        <is>
          <t>MULLSJÖ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46293</v>
      </c>
      <c r="E173" s="1" t="n">
        <v>46304</v>
      </c>
      <c r="F173" t="inlineStr">
        <is>
          <t>JÖNKÖPINGS LÄN</t>
        </is>
      </c>
      <c r="G173" t="inlineStr">
        <is>
          <t>MULLSJÖ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46304</v>
      </c>
      <c r="F174" t="inlineStr">
        <is>
          <t>JÖNKÖPINGS LÄN</t>
        </is>
      </c>
      <c r="G174" t="inlineStr">
        <is>
          <t>MULLSJÖ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46295</v>
      </c>
      <c r="E175" s="1" t="n">
        <v>46304</v>
      </c>
      <c r="F175" t="inlineStr">
        <is>
          <t>JÖNKÖPINGS LÄN</t>
        </is>
      </c>
      <c r="G175" t="inlineStr">
        <is>
          <t>MULLSJÖ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46304</v>
      </c>
      <c r="F176" t="inlineStr">
        <is>
          <t>JÖNKÖPINGS LÄN</t>
        </is>
      </c>
      <c r="G176" t="inlineStr">
        <is>
          <t>MULLSJÖ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37124-2026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46274</v>
      </c>
      <c r="E177" s="1" t="n">
        <v>46304</v>
      </c>
      <c r="F177" t="inlineStr">
        <is>
          <t>JÖNKÖPINGS LÄN</t>
        </is>
      </c>
      <c r="G177" t="inlineStr">
        <is>
          <t>MULLSJÖ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46304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46304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46304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2026-10-09T02:03:42Z</dcterms:created>
  <dcterms:modified xmlns:dcterms="http://purl.org/dc/terms/" xmlns:xsi="http://www.w3.org/2001/XMLSchema-instance" xsi:type="dcterms:W3CDTF">2026-10-09T02:03:42Z</dcterms:modified>
</cp:coreProperties>
</file>