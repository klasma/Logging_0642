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46256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46256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46256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46256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46256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46256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46256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46256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46256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46256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46256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46256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46256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46256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7823-2024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45349</v>
      </c>
      <c r="E16" s="1" t="n">
        <v>46256</v>
      </c>
      <c r="F16" t="inlineStr">
        <is>
          <t>JÖNKÖPINGS LÄN</t>
        </is>
      </c>
      <c r="G16" t="inlineStr">
        <is>
          <t>MULLSJÖ</t>
        </is>
      </c>
      <c r="I16" t="n">
        <v>3.5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HYPERLINK("https://klasma.github.io/Logging_0642/artfynd/A 7823-2024 artfynd.xlsx", "A 7823-2024")</f>
        <v/>
      </c>
      <c r="X16">
        <f>HYPERLINK("https://klasma.github.io/Logging_0642/kartor/A 7823-2024 karta.png", "A 7823-2024")</f>
        <v/>
      </c>
      <c r="Y16">
        <f>HYPERLINK("https://klasma.github.io/Logging_0642/kartor_geotiff/A 7823-2024 georefererad karta.tif", "A 7823-2024")</f>
        <v/>
      </c>
      <c r="AA16">
        <f>HYPERLINK("https://klasma.github.io/Logging_0642/klagomål/A 7823-2024 FSC-klagomål.docx", "A 7823-2024")</f>
        <v/>
      </c>
      <c r="AB16">
        <f>HYPERLINK("https://klasma.github.io/Logging_0642/klagomålsmail/A 7823-2024 FSC-klagomål mail.docx", "A 7823-2024")</f>
        <v/>
      </c>
      <c r="AC16">
        <f>HYPERLINK("https://klasma.github.io/Logging_0642/tillsyn/A 7823-2024 tillsynsbegäran.docx", "A 7823-2024")</f>
        <v/>
      </c>
      <c r="AD16">
        <f>HYPERLINK("https://klasma.github.io/Logging_0642/tillsynsmail/A 7823-2024 tillsynsbegäran mail.docx", "A 7823-2024")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46256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46256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46256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46256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46256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46256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46256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46256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46256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46256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7821-2024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45349</v>
      </c>
      <c r="E27" s="1" t="n">
        <v>46256</v>
      </c>
      <c r="F27" t="inlineStr">
        <is>
          <t>JÖNKÖPINGS LÄN</t>
        </is>
      </c>
      <c r="G27" t="inlineStr">
        <is>
          <t>MULLSJÖ</t>
        </is>
      </c>
      <c r="I27" t="n">
        <v>8.199999999999999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7821-2024 artfynd.xlsx", "A 7821-2024")</f>
        <v/>
      </c>
      <c r="X27">
        <f>HYPERLINK("https://klasma.github.io/Logging_0642/kartor/A 7821-2024 karta.png", "A 7821-2024")</f>
        <v/>
      </c>
      <c r="Y27">
        <f>HYPERLINK("https://klasma.github.io/Logging_0642/kartor_geotiff/A 7821-2024 georefererad karta.tif", "A 7821-2024")</f>
        <v/>
      </c>
      <c r="AA27">
        <f>HYPERLINK("https://klasma.github.io/Logging_0642/klagomål/A 7821-2024 FSC-klagomål.docx", "A 7821-2024")</f>
        <v/>
      </c>
      <c r="AB27">
        <f>HYPERLINK("https://klasma.github.io/Logging_0642/klagomålsmail/A 7821-2024 FSC-klagomål mail.docx", "A 7821-2024")</f>
        <v/>
      </c>
      <c r="AC27">
        <f>HYPERLINK("https://klasma.github.io/Logging_0642/tillsyn/A 7821-2024 tillsynsbegäran.docx", "A 7821-2024")</f>
        <v/>
      </c>
      <c r="AD27">
        <f>HYPERLINK("https://klasma.github.io/Logging_0642/tillsynsmail/A 7821-2024 tillsynsbegäran mail.docx", "A 7821-2024")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46256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46256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46256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46256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46256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46256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46256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46256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46256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46256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46256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14029-2025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46256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44649</v>
      </c>
      <c r="E40" s="1" t="n">
        <v>46256</v>
      </c>
      <c r="F40" t="inlineStr">
        <is>
          <t>JÖNKÖPINGS LÄN</t>
        </is>
      </c>
      <c r="G40" t="inlineStr">
        <is>
          <t>MULLSJÖ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44503</v>
      </c>
      <c r="E41" s="1" t="n">
        <v>46256</v>
      </c>
      <c r="F41" t="inlineStr">
        <is>
          <t>JÖNKÖPINGS LÄN</t>
        </is>
      </c>
      <c r="G41" t="inlineStr">
        <is>
          <t>MULLSJÖ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46256</v>
      </c>
      <c r="F42" t="inlineStr">
        <is>
          <t>JÖNKÖPINGS LÄN</t>
        </is>
      </c>
      <c r="G42" t="inlineStr">
        <is>
          <t>MULLSJÖ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46256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46256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45676</v>
      </c>
      <c r="E45" s="1" t="n">
        <v>46256</v>
      </c>
      <c r="F45" t="inlineStr">
        <is>
          <t>JÖNKÖPINGS LÄN</t>
        </is>
      </c>
      <c r="G45" t="inlineStr">
        <is>
          <t>MULLSJÖ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46256</v>
      </c>
      <c r="F46" t="inlineStr">
        <is>
          <t>JÖNKÖPINGS LÄN</t>
        </is>
      </c>
      <c r="G46" t="inlineStr">
        <is>
          <t>MULLSJÖ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44665</v>
      </c>
      <c r="E47" s="1" t="n">
        <v>46256</v>
      </c>
      <c r="F47" t="inlineStr">
        <is>
          <t>JÖNKÖPINGS LÄN</t>
        </is>
      </c>
      <c r="G47" t="inlineStr">
        <is>
          <t>MULLSJÖ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46256</v>
      </c>
      <c r="F48" t="inlineStr">
        <is>
          <t>JÖNKÖPINGS LÄN</t>
        </is>
      </c>
      <c r="G48" t="inlineStr">
        <is>
          <t>MULLSJÖ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46256</v>
      </c>
      <c r="F49" t="inlineStr">
        <is>
          <t>JÖNKÖPINGS LÄN</t>
        </is>
      </c>
      <c r="G49" t="inlineStr">
        <is>
          <t>MULLSJÖ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46256</v>
      </c>
      <c r="F50" t="inlineStr">
        <is>
          <t>JÖNKÖPINGS LÄN</t>
        </is>
      </c>
      <c r="G50" t="inlineStr">
        <is>
          <t>MULLSJÖ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46256</v>
      </c>
      <c r="F51" t="inlineStr">
        <is>
          <t>JÖNKÖPINGS LÄN</t>
        </is>
      </c>
      <c r="G51" t="inlineStr">
        <is>
          <t>MULLSJÖ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46256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46256</v>
      </c>
      <c r="F53" t="inlineStr">
        <is>
          <t>JÖNKÖPINGS LÄN</t>
        </is>
      </c>
      <c r="G53" t="inlineStr">
        <is>
          <t>MULLSJÖ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46256</v>
      </c>
      <c r="F54" t="inlineStr">
        <is>
          <t>JÖNKÖPINGS LÄN</t>
        </is>
      </c>
      <c r="G54" t="inlineStr">
        <is>
          <t>MULLSJÖ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45682</v>
      </c>
      <c r="E55" s="1" t="n">
        <v>46256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45904</v>
      </c>
      <c r="E56" s="1" t="n">
        <v>46256</v>
      </c>
      <c r="F56" t="inlineStr">
        <is>
          <t>JÖNKÖPINGS LÄN</t>
        </is>
      </c>
      <c r="G56" t="inlineStr">
        <is>
          <t>MULLSJÖ</t>
        </is>
      </c>
      <c r="H56" t="inlineStr">
        <is>
          <t>Kyrkan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46256</v>
      </c>
      <c r="F57" t="inlineStr">
        <is>
          <t>JÖNKÖPINGS LÄN</t>
        </is>
      </c>
      <c r="G57" t="inlineStr">
        <is>
          <t>MULLSJÖ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46256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45214</v>
      </c>
      <c r="E59" s="1" t="n">
        <v>46256</v>
      </c>
      <c r="F59" t="inlineStr">
        <is>
          <t>JÖNKÖPINGS LÄN</t>
        </is>
      </c>
      <c r="G59" t="inlineStr">
        <is>
          <t>MULLSJÖ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43134-2025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46256</v>
      </c>
      <c r="F60" t="inlineStr">
        <is>
          <t>JÖNKÖPINGS LÄN</t>
        </is>
      </c>
      <c r="G60" t="inlineStr">
        <is>
          <t>MULLSJÖ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37797-2024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45543</v>
      </c>
      <c r="E61" s="1" t="n">
        <v>46256</v>
      </c>
      <c r="F61" t="inlineStr">
        <is>
          <t>JÖNKÖPINGS LÄN</t>
        </is>
      </c>
      <c r="G61" t="inlineStr">
        <is>
          <t>MULLSJÖ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45543</v>
      </c>
      <c r="E62" s="1" t="n">
        <v>46256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28791-2024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45478</v>
      </c>
      <c r="E63" s="1" t="n">
        <v>46256</v>
      </c>
      <c r="F63" t="inlineStr">
        <is>
          <t>JÖNKÖPINGS LÄN</t>
        </is>
      </c>
      <c r="G63" t="inlineStr">
        <is>
          <t>MULLSJÖ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44707</v>
      </c>
      <c r="E64" s="1" t="n">
        <v>46256</v>
      </c>
      <c r="F64" t="inlineStr">
        <is>
          <t>JÖNKÖPINGS LÄN</t>
        </is>
      </c>
      <c r="G64" t="inlineStr">
        <is>
          <t>MULLSJÖ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28605-2023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46256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71048-2021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44538</v>
      </c>
      <c r="E66" s="1" t="n">
        <v>46256</v>
      </c>
      <c r="F66" t="inlineStr">
        <is>
          <t>JÖNKÖPINGS LÄN</t>
        </is>
      </c>
      <c r="G66" t="inlineStr">
        <is>
          <t>MULLSJÖ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44964</v>
      </c>
      <c r="E67" s="1" t="n">
        <v>46256</v>
      </c>
      <c r="F67" t="inlineStr">
        <is>
          <t>JÖNKÖPINGS LÄN</t>
        </is>
      </c>
      <c r="G67" t="inlineStr">
        <is>
          <t>MULLSJÖ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46256</v>
      </c>
      <c r="F68" t="inlineStr">
        <is>
          <t>JÖNKÖPINGS LÄN</t>
        </is>
      </c>
      <c r="G68" t="inlineStr">
        <is>
          <t>MULLSJÖ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35244-2023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46256</v>
      </c>
      <c r="F69" t="inlineStr">
        <is>
          <t>JÖNKÖPINGS LÄN</t>
        </is>
      </c>
      <c r="G69" t="inlineStr">
        <is>
          <t>MULLSJÖ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46256</v>
      </c>
      <c r="F70" t="inlineStr">
        <is>
          <t>JÖNKÖPINGS LÄN</t>
        </is>
      </c>
      <c r="G70" t="inlineStr">
        <is>
          <t>MULLSJÖ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46256</v>
      </c>
      <c r="F71" t="inlineStr">
        <is>
          <t>JÖNKÖPINGS LÄN</t>
        </is>
      </c>
      <c r="G71" t="inlineStr">
        <is>
          <t>MULLSJÖ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46256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45928</v>
      </c>
      <c r="E73" s="1" t="n">
        <v>46256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46256</v>
      </c>
      <c r="F74" t="inlineStr">
        <is>
          <t>JÖNKÖPINGS LÄN</t>
        </is>
      </c>
      <c r="G74" t="inlineStr">
        <is>
          <t>MULLSJÖ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45755</v>
      </c>
      <c r="E75" s="1" t="n">
        <v>46256</v>
      </c>
      <c r="F75" t="inlineStr">
        <is>
          <t>JÖNKÖPINGS LÄN</t>
        </is>
      </c>
      <c r="G75" t="inlineStr">
        <is>
          <t>MULLSJÖ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16567-2025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45752</v>
      </c>
      <c r="E76" s="1" t="n">
        <v>46256</v>
      </c>
      <c r="F76" t="inlineStr">
        <is>
          <t>JÖNKÖPINGS LÄN</t>
        </is>
      </c>
      <c r="G76" t="inlineStr">
        <is>
          <t>MULLSJÖ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16568-2025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45752</v>
      </c>
      <c r="E77" s="1" t="n">
        <v>46256</v>
      </c>
      <c r="F77" t="inlineStr">
        <is>
          <t>JÖNKÖPINGS LÄN</t>
        </is>
      </c>
      <c r="G77" t="inlineStr">
        <is>
          <t>MULLSJÖ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45752</v>
      </c>
      <c r="E78" s="1" t="n">
        <v>46256</v>
      </c>
      <c r="F78" t="inlineStr">
        <is>
          <t>JÖNKÖPINGS LÄN</t>
        </is>
      </c>
      <c r="G78" t="inlineStr">
        <is>
          <t>MULLSJÖ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46256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46256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46256</v>
      </c>
      <c r="F81" t="inlineStr">
        <is>
          <t>JÖNKÖPINGS LÄN</t>
        </is>
      </c>
      <c r="G81" t="inlineStr">
        <is>
          <t>MULLSJÖ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45169</v>
      </c>
      <c r="E82" s="1" t="n">
        <v>46256</v>
      </c>
      <c r="F82" t="inlineStr">
        <is>
          <t>JÖNKÖPINGS LÄN</t>
        </is>
      </c>
      <c r="G82" t="inlineStr">
        <is>
          <t>MULLSJÖ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46256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46256</v>
      </c>
      <c r="F84" t="inlineStr">
        <is>
          <t>JÖNKÖPINGS LÄN</t>
        </is>
      </c>
      <c r="G84" t="inlineStr">
        <is>
          <t>MULLSJÖ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33875-2024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45521</v>
      </c>
      <c r="E85" s="1" t="n">
        <v>46256</v>
      </c>
      <c r="F85" t="inlineStr">
        <is>
          <t>JÖNKÖPINGS LÄN</t>
        </is>
      </c>
      <c r="G85" t="inlineStr">
        <is>
          <t>MULLSJÖ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16573-2025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45752</v>
      </c>
      <c r="E86" s="1" t="n">
        <v>46256</v>
      </c>
      <c r="F86" t="inlineStr">
        <is>
          <t>JÖNKÖPINGS LÄN</t>
        </is>
      </c>
      <c r="G86" t="inlineStr">
        <is>
          <t>MULLSJÖ</t>
        </is>
      </c>
      <c r="I86" t="n">
        <v>9.6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46256</v>
      </c>
      <c r="F87" t="inlineStr">
        <is>
          <t>JÖNKÖPINGS LÄN</t>
        </is>
      </c>
      <c r="G87" t="inlineStr">
        <is>
          <t>MULLSJÖ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45953</v>
      </c>
      <c r="E88" s="1" t="n">
        <v>46256</v>
      </c>
      <c r="F88" t="inlineStr">
        <is>
          <t>JÖNKÖPINGS LÄN</t>
        </is>
      </c>
      <c r="G88" t="inlineStr">
        <is>
          <t>MULLSJÖ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39988-2024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46256</v>
      </c>
      <c r="F89" t="inlineStr">
        <is>
          <t>JÖNKÖPINGS LÄN</t>
        </is>
      </c>
      <c r="G89" t="inlineStr">
        <is>
          <t>MULLSJÖ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44966</v>
      </c>
      <c r="E90" s="1" t="n">
        <v>46256</v>
      </c>
      <c r="F90" t="inlineStr">
        <is>
          <t>JÖNKÖPINGS LÄN</t>
        </is>
      </c>
      <c r="G90" t="inlineStr">
        <is>
          <t>MULLSJÖ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16350-2022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44670</v>
      </c>
      <c r="E91" s="1" t="n">
        <v>46256</v>
      </c>
      <c r="F91" t="inlineStr">
        <is>
          <t>JÖNKÖPINGS LÄN</t>
        </is>
      </c>
      <c r="G91" t="inlineStr">
        <is>
          <t>MULLSJÖ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45313</v>
      </c>
      <c r="E92" s="1" t="n">
        <v>46256</v>
      </c>
      <c r="F92" t="inlineStr">
        <is>
          <t>JÖNKÖPINGS LÄN</t>
        </is>
      </c>
      <c r="G92" t="inlineStr">
        <is>
          <t>MULLSJÖ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46256</v>
      </c>
      <c r="F93" t="inlineStr">
        <is>
          <t>JÖNKÖPINGS LÄN</t>
        </is>
      </c>
      <c r="G93" t="inlineStr">
        <is>
          <t>MULLSJÖ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45529</v>
      </c>
      <c r="E94" s="1" t="n">
        <v>46256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46256</v>
      </c>
      <c r="F95" t="inlineStr">
        <is>
          <t>JÖNKÖPINGS LÄN</t>
        </is>
      </c>
      <c r="G95" t="inlineStr">
        <is>
          <t>MULLSJÖ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45686</v>
      </c>
      <c r="E96" s="1" t="n">
        <v>46256</v>
      </c>
      <c r="F96" t="inlineStr">
        <is>
          <t>JÖNKÖPINGS LÄN</t>
        </is>
      </c>
      <c r="G96" t="inlineStr">
        <is>
          <t>MULLSJÖ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23787-2024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46256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45495</v>
      </c>
      <c r="E98" s="1" t="n">
        <v>46256</v>
      </c>
      <c r="F98" t="inlineStr">
        <is>
          <t>JÖNKÖPINGS LÄN</t>
        </is>
      </c>
      <c r="G98" t="inlineStr">
        <is>
          <t>MULLSJÖ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46256</v>
      </c>
      <c r="F99" t="inlineStr">
        <is>
          <t>JÖNKÖPINGS LÄN</t>
        </is>
      </c>
      <c r="G99" t="inlineStr">
        <is>
          <t>MULLSJÖ</t>
        </is>
      </c>
      <c r="H99" t="inlineStr">
        <is>
          <t>Kyrkan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46256</v>
      </c>
      <c r="F100" t="inlineStr">
        <is>
          <t>JÖNKÖPINGS LÄN</t>
        </is>
      </c>
      <c r="G100" t="inlineStr">
        <is>
          <t>MULLSJÖ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46256</v>
      </c>
      <c r="F101" t="inlineStr">
        <is>
          <t>JÖNKÖPINGS LÄN</t>
        </is>
      </c>
      <c r="G101" t="inlineStr">
        <is>
          <t>MULLSJÖ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19107-2023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45048</v>
      </c>
      <c r="E102" s="1" t="n">
        <v>46256</v>
      </c>
      <c r="F102" t="inlineStr">
        <is>
          <t>JÖNKÖPINGS LÄN</t>
        </is>
      </c>
      <c r="G102" t="inlineStr">
        <is>
          <t>MULLSJÖ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46256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14064-2025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46256</v>
      </c>
      <c r="F104" t="inlineStr">
        <is>
          <t>JÖNKÖPINGS LÄN</t>
        </is>
      </c>
      <c r="G104" t="inlineStr">
        <is>
          <t>MULLSJÖ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46256</v>
      </c>
      <c r="F105" t="inlineStr">
        <is>
          <t>JÖNKÖPINGS LÄN</t>
        </is>
      </c>
      <c r="G105" t="inlineStr">
        <is>
          <t>MULLSJÖ</t>
        </is>
      </c>
      <c r="H105" t="inlineStr">
        <is>
          <t>Kommuner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  <c r="Z105">
        <f>HYPERLINK("https://klasma.github.io/Logging_0642/knärot/A 7181-2023 karta knärot.png", "A 7181-2023")</f>
        <v/>
      </c>
      <c r="AA105">
        <f>HYPERLINK("https://klasma.github.io/Logging_0642/klagomål/A 7181-2023 FSC-klagomål.docx", "A 7181-2023")</f>
        <v/>
      </c>
      <c r="AB105">
        <f>HYPERLINK("https://klasma.github.io/Logging_0642/klagomålsmail/A 7181-2023 FSC-klagomål mail.docx", "A 7181-2023")</f>
        <v/>
      </c>
      <c r="AC105">
        <f>HYPERLINK("https://klasma.github.io/Logging_0642/tillsyn/A 7181-2023 tillsynsbegäran.docx", "A 7181-2023")</f>
        <v/>
      </c>
      <c r="AD105">
        <f>HYPERLINK("https://klasma.github.io/Logging_0642/tillsynsmail/A 7181-2023 tillsynsbegäran mail.docx", "A 7181-2023")</f>
        <v/>
      </c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46256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45748</v>
      </c>
      <c r="E107" s="1" t="n">
        <v>46256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44964</v>
      </c>
      <c r="E108" s="1" t="n">
        <v>46256</v>
      </c>
      <c r="F108" t="inlineStr">
        <is>
          <t>JÖNKÖPINGS LÄN</t>
        </is>
      </c>
      <c r="G108" t="inlineStr">
        <is>
          <t>MULLSJÖ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46256</v>
      </c>
      <c r="F109" t="inlineStr">
        <is>
          <t>JÖNKÖPINGS LÄN</t>
        </is>
      </c>
      <c r="G109" t="inlineStr">
        <is>
          <t>MULLSJÖ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44954</v>
      </c>
      <c r="E110" s="1" t="n">
        <v>46256</v>
      </c>
      <c r="F110" t="inlineStr">
        <is>
          <t>JÖNKÖPINGS LÄN</t>
        </is>
      </c>
      <c r="G110" t="inlineStr">
        <is>
          <t>MULLSJÖ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46256</v>
      </c>
      <c r="F111" t="inlineStr">
        <is>
          <t>JÖNKÖPINGS LÄN</t>
        </is>
      </c>
      <c r="G111" t="inlineStr">
        <is>
          <t>MULLSJÖ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46256</v>
      </c>
      <c r="F112" t="inlineStr">
        <is>
          <t>JÖNKÖPINGS LÄN</t>
        </is>
      </c>
      <c r="G112" t="inlineStr">
        <is>
          <t>MULLSJÖ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46256</v>
      </c>
      <c r="F113" t="inlineStr">
        <is>
          <t>JÖNKÖPINGS LÄN</t>
        </is>
      </c>
      <c r="G113" t="inlineStr">
        <is>
          <t>MULLSJÖ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46256</v>
      </c>
      <c r="F114" t="inlineStr">
        <is>
          <t>JÖNKÖPINGS LÄN</t>
        </is>
      </c>
      <c r="G114" t="inlineStr">
        <is>
          <t>MULLSJÖ</t>
        </is>
      </c>
      <c r="I114" t="n">
        <v>15.1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46256</v>
      </c>
      <c r="F115" t="inlineStr">
        <is>
          <t>JÖNKÖPINGS LÄN</t>
        </is>
      </c>
      <c r="G115" t="inlineStr">
        <is>
          <t>MULLSJÖ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46256</v>
      </c>
      <c r="F116" t="inlineStr">
        <is>
          <t>JÖNKÖPINGS LÄN</t>
        </is>
      </c>
      <c r="G116" t="inlineStr">
        <is>
          <t>MULLSJÖ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46256</v>
      </c>
      <c r="F117" t="inlineStr">
        <is>
          <t>JÖNKÖPINGS LÄN</t>
        </is>
      </c>
      <c r="G117" t="inlineStr">
        <is>
          <t>MULLSJÖ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46256</v>
      </c>
      <c r="F118" t="inlineStr">
        <is>
          <t>JÖNKÖPINGS LÄN</t>
        </is>
      </c>
      <c r="G118" t="inlineStr">
        <is>
          <t>MULLSJÖ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14226-2024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45393</v>
      </c>
      <c r="E119" s="1" t="n">
        <v>46256</v>
      </c>
      <c r="F119" t="inlineStr">
        <is>
          <t>JÖNKÖPINGS LÄN</t>
        </is>
      </c>
      <c r="G119" t="inlineStr">
        <is>
          <t>MULLSJÖ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46256</v>
      </c>
      <c r="F120" t="inlineStr">
        <is>
          <t>JÖNKÖPINGS LÄN</t>
        </is>
      </c>
      <c r="G120" t="inlineStr">
        <is>
          <t>MULLSJÖ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45875</v>
      </c>
      <c r="E121" s="1" t="n">
        <v>46256</v>
      </c>
      <c r="F121" t="inlineStr">
        <is>
          <t>JÖNKÖPINGS LÄN</t>
        </is>
      </c>
      <c r="G121" t="inlineStr">
        <is>
          <t>MULLSJÖ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46256</v>
      </c>
      <c r="F122" t="inlineStr">
        <is>
          <t>JÖNKÖPINGS LÄN</t>
        </is>
      </c>
      <c r="G122" t="inlineStr">
        <is>
          <t>MULLSJÖ</t>
        </is>
      </c>
      <c r="I122" t="n">
        <v>10.9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46256</v>
      </c>
      <c r="F123" t="inlineStr">
        <is>
          <t>JÖNKÖPINGS LÄN</t>
        </is>
      </c>
      <c r="G123" t="inlineStr">
        <is>
          <t>MULLSJÖ</t>
        </is>
      </c>
      <c r="I123" t="n">
        <v>14.1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37133-2025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45875</v>
      </c>
      <c r="E124" s="1" t="n">
        <v>46256</v>
      </c>
      <c r="F124" t="inlineStr">
        <is>
          <t>JÖNKÖPINGS LÄN</t>
        </is>
      </c>
      <c r="G124" t="inlineStr">
        <is>
          <t>MULLSJÖ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46256</v>
      </c>
      <c r="F125" t="inlineStr">
        <is>
          <t>JÖNKÖPINGS LÄN</t>
        </is>
      </c>
      <c r="G125" t="inlineStr">
        <is>
          <t>MULLSJÖ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45877</v>
      </c>
      <c r="E126" s="1" t="n">
        <v>46256</v>
      </c>
      <c r="F126" t="inlineStr">
        <is>
          <t>JÖNKÖPINGS LÄN</t>
        </is>
      </c>
      <c r="G126" t="inlineStr">
        <is>
          <t>MULLSJÖ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46216</v>
      </c>
      <c r="E127" s="1" t="n">
        <v>46256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46256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46256</v>
      </c>
      <c r="F129" t="inlineStr">
        <is>
          <t>JÖNKÖPINGS LÄN</t>
        </is>
      </c>
      <c r="G129" t="inlineStr">
        <is>
          <t>MULLSJÖ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44954</v>
      </c>
      <c r="E130" s="1" t="n">
        <v>46256</v>
      </c>
      <c r="F130" t="inlineStr">
        <is>
          <t>JÖNKÖPINGS LÄN</t>
        </is>
      </c>
      <c r="G130" t="inlineStr">
        <is>
          <t>MULLSJÖ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12273-2023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44998</v>
      </c>
      <c r="E131" s="1" t="n">
        <v>46256</v>
      </c>
      <c r="F131" t="inlineStr">
        <is>
          <t>JÖNKÖPINGS LÄN</t>
        </is>
      </c>
      <c r="G131" t="inlineStr">
        <is>
          <t>MULLSJÖ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46256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46256</v>
      </c>
      <c r="F133" t="inlineStr">
        <is>
          <t>JÖNKÖPINGS LÄN</t>
        </is>
      </c>
      <c r="G133" t="inlineStr">
        <is>
          <t>MULLSJÖ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56876-2023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45244</v>
      </c>
      <c r="E134" s="1" t="n">
        <v>46256</v>
      </c>
      <c r="F134" t="inlineStr">
        <is>
          <t>JÖNKÖPINGS LÄN</t>
        </is>
      </c>
      <c r="G134" t="inlineStr">
        <is>
          <t>MULLSJÖ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46256</v>
      </c>
      <c r="F135" t="inlineStr">
        <is>
          <t>JÖNKÖPINGS LÄN</t>
        </is>
      </c>
      <c r="G135" t="inlineStr">
        <is>
          <t>MULLSJÖ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12351-2026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46088</v>
      </c>
      <c r="E136" s="1" t="n">
        <v>46256</v>
      </c>
      <c r="F136" t="inlineStr">
        <is>
          <t>JÖNKÖPINGS LÄN</t>
        </is>
      </c>
      <c r="G136" t="inlineStr">
        <is>
          <t>MULLSJÖ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46256</v>
      </c>
      <c r="F137" t="inlineStr">
        <is>
          <t>JÖNKÖPINGS LÄN</t>
        </is>
      </c>
      <c r="G137" t="inlineStr">
        <is>
          <t>MULLSJÖ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46256</v>
      </c>
      <c r="F138" t="inlineStr">
        <is>
          <t>JÖNKÖPINGS LÄN</t>
        </is>
      </c>
      <c r="G138" t="inlineStr">
        <is>
          <t>MULLSJÖ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44796</v>
      </c>
      <c r="E139" s="1" t="n">
        <v>46256</v>
      </c>
      <c r="F139" t="inlineStr">
        <is>
          <t>JÖNKÖPINGS LÄN</t>
        </is>
      </c>
      <c r="G139" t="inlineStr">
        <is>
          <t>MULLSJÖ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14742-2022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46256</v>
      </c>
      <c r="F140" t="inlineStr">
        <is>
          <t>JÖNKÖPINGS LÄN</t>
        </is>
      </c>
      <c r="G140" t="inlineStr">
        <is>
          <t>MULLSJÖ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46256</v>
      </c>
      <c r="F141" t="inlineStr">
        <is>
          <t>JÖNKÖPINGS LÄN</t>
        </is>
      </c>
      <c r="G141" t="inlineStr">
        <is>
          <t>MULLSJÖ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45469</v>
      </c>
      <c r="E142" s="1" t="n">
        <v>46256</v>
      </c>
      <c r="F142" t="inlineStr">
        <is>
          <t>JÖNKÖPINGS LÄN</t>
        </is>
      </c>
      <c r="G142" t="inlineStr">
        <is>
          <t>MULLSJÖ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46256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46240</v>
      </c>
      <c r="E144" s="1" t="n">
        <v>46256</v>
      </c>
      <c r="F144" t="inlineStr">
        <is>
          <t>JÖNKÖPINGS LÄN</t>
        </is>
      </c>
      <c r="G144" t="inlineStr">
        <is>
          <t>MULLSJÖ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32699-2026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46240</v>
      </c>
      <c r="E145" s="1" t="n">
        <v>46256</v>
      </c>
      <c r="F145" t="inlineStr">
        <is>
          <t>JÖNKÖPINGS LÄN</t>
        </is>
      </c>
      <c r="G145" t="inlineStr">
        <is>
          <t>MULLSJÖ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46197</v>
      </c>
      <c r="E146" s="1" t="n">
        <v>46256</v>
      </c>
      <c r="F146" t="inlineStr">
        <is>
          <t>JÖNKÖPINGS LÄN</t>
        </is>
      </c>
      <c r="G146" t="inlineStr">
        <is>
          <t>MULLSJÖ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18421-2026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46126</v>
      </c>
      <c r="E147" s="1" t="n">
        <v>46256</v>
      </c>
      <c r="F147" t="inlineStr">
        <is>
          <t>JÖNKÖPINGS LÄN</t>
        </is>
      </c>
      <c r="G147" t="inlineStr">
        <is>
          <t>MULLSJÖ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42872-2022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44832</v>
      </c>
      <c r="E148" s="1" t="n">
        <v>46256</v>
      </c>
      <c r="F148" t="inlineStr">
        <is>
          <t>JÖNKÖPINGS LÄN</t>
        </is>
      </c>
      <c r="G148" t="inlineStr">
        <is>
          <t>MULLSJÖ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45321</v>
      </c>
      <c r="E149" s="1" t="n">
        <v>46256</v>
      </c>
      <c r="F149" t="inlineStr">
        <is>
          <t>JÖNKÖPINGS LÄN</t>
        </is>
      </c>
      <c r="G149" t="inlineStr">
        <is>
          <t>MULLSJÖ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46246</v>
      </c>
      <c r="E150" s="1" t="n">
        <v>46256</v>
      </c>
      <c r="F150" t="inlineStr">
        <is>
          <t>JÖNKÖPINGS LÄN</t>
        </is>
      </c>
      <c r="G150" t="inlineStr">
        <is>
          <t>MULLSJÖ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46256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46256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46246</v>
      </c>
      <c r="E153" s="1" t="n">
        <v>46256</v>
      </c>
      <c r="F153" t="inlineStr">
        <is>
          <t>JÖNKÖPINGS LÄN</t>
        </is>
      </c>
      <c r="G153" t="inlineStr">
        <is>
          <t>MULLSJÖ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46256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46256</v>
      </c>
      <c r="F155" t="inlineStr">
        <is>
          <t>JÖNKÖPINGS LÄN</t>
        </is>
      </c>
      <c r="G155" t="inlineStr">
        <is>
          <t>MULLSJÖ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46256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46256</v>
      </c>
      <c r="F157" t="inlineStr">
        <is>
          <t>JÖNKÖPINGS LÄN</t>
        </is>
      </c>
      <c r="G157" t="inlineStr">
        <is>
          <t>MULLSJÖ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45730</v>
      </c>
      <c r="E158" s="1" t="n">
        <v>46256</v>
      </c>
      <c r="F158" t="inlineStr">
        <is>
          <t>JÖNKÖPINGS LÄN</t>
        </is>
      </c>
      <c r="G158" t="inlineStr">
        <is>
          <t>MULLSJÖ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46256</v>
      </c>
      <c r="F159" t="inlineStr">
        <is>
          <t>JÖNKÖPINGS LÄN</t>
        </is>
      </c>
      <c r="G159" t="inlineStr">
        <is>
          <t>MULLSJÖ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46256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46256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46256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46256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45083</v>
      </c>
      <c r="E164" s="1" t="n">
        <v>46256</v>
      </c>
      <c r="F164" t="inlineStr">
        <is>
          <t>JÖNKÖPINGS LÄN</t>
        </is>
      </c>
      <c r="G164" t="inlineStr">
        <is>
          <t>MULLSJÖ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46256</v>
      </c>
      <c r="F165" t="inlineStr">
        <is>
          <t>JÖNKÖPINGS LÄN</t>
        </is>
      </c>
      <c r="G165" t="inlineStr">
        <is>
          <t>MULLSJÖ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44670</v>
      </c>
      <c r="E166" s="1" t="n">
        <v>46256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46256</v>
      </c>
      <c r="F167" t="inlineStr">
        <is>
          <t>JÖNKÖPINGS LÄN</t>
        </is>
      </c>
      <c r="G167" t="inlineStr">
        <is>
          <t>MULLSJÖ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46256</v>
      </c>
      <c r="F168" t="inlineStr">
        <is>
          <t>JÖNKÖPINGS LÄN</t>
        </is>
      </c>
      <c r="G168" t="inlineStr">
        <is>
          <t>MULLSJÖ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46256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46256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46256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46256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46256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46256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46256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46256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46256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46256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46256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2026-08-22T01:50:55Z</dcterms:created>
  <dcterms:modified xmlns:dcterms="http://purl.org/dc/terms/" xmlns:xsi="http://www.w3.org/2001/XMLSchema-instance" xsi:type="dcterms:W3CDTF">2026-08-22T01:50:55Z</dcterms:modified>
</cp:coreProperties>
</file>