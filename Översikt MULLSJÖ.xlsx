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46293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46293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46293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46293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46293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46293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46293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46293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46293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46293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46293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46293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46293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62232-2022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44922</v>
      </c>
      <c r="E21" s="1" t="n">
        <v>46293</v>
      </c>
      <c r="F21" t="inlineStr">
        <is>
          <t>JÖNKÖPINGS LÄN</t>
        </is>
      </c>
      <c r="G21" t="inlineStr">
        <is>
          <t>MULLSJÖ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HYPERLINK("https://klasma.github.io/Logging_0642/artfynd/A 62232-2022 artfynd.xlsx", "A 62232-2022")</f>
        <v/>
      </c>
      <c r="X21">
        <f>HYPERLINK("https://klasma.github.io/Logging_0642/kartor/A 62232-2022 karta.png", "A 62232-2022")</f>
        <v/>
      </c>
      <c r="Y21">
        <f>HYPERLINK("https://klasma.github.io/Logging_0642/kartor_geotiff/A 62232-2022 georefererad karta.tif", "A 62232-2022")</f>
        <v/>
      </c>
      <c r="AA21">
        <f>HYPERLINK("https://klasma.github.io/Logging_0642/klagomål/A 62232-2022 FSC-klagomål.docx", "A 62232-2022")</f>
        <v/>
      </c>
      <c r="AB21">
        <f>HYPERLINK("https://klasma.github.io/Logging_0642/klagomålsmail/A 62232-2022 FSC-klagomål mail.docx", "A 62232-2022")</f>
        <v/>
      </c>
      <c r="AC21">
        <f>HYPERLINK("https://klasma.github.io/Logging_0642/tillsyn/A 62232-2022 tillsynsbegäran.docx", "A 62232-2022")</f>
        <v/>
      </c>
      <c r="AD21">
        <f>HYPERLINK("https://klasma.github.io/Logging_0642/tillsynsmail/A 62232-2022 tillsynsbegäran mail.docx", "A 62232-2022")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46293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46293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46293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15498-2024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46293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HYPERLINK("https://klasma.github.io/Logging_0642/artfynd/A 15498-2024 artfynd.xlsx", "A 15498-2024")</f>
        <v/>
      </c>
      <c r="X25">
        <f>HYPERLINK("https://klasma.github.io/Logging_0642/kartor/A 15498-2024 karta.png", "A 15498-2024")</f>
        <v/>
      </c>
      <c r="Y25">
        <f>HYPERLINK("https://klasma.github.io/Logging_0642/kartor_geotiff/A 15498-2024 georefererad karta.tif", "A 15498-2024")</f>
        <v/>
      </c>
      <c r="Z25">
        <f>HYPERLINK("https://klasma.github.io/Logging_0642/knärot/A 15498-2024 karta knärot.png", "A 15498-2024")</f>
        <v/>
      </c>
      <c r="AA25">
        <f>HYPERLINK("https://klasma.github.io/Logging_0642/klagomål/A 15498-2024 FSC-klagomål.docx", "A 15498-2024")</f>
        <v/>
      </c>
      <c r="AB25">
        <f>HYPERLINK("https://klasma.github.io/Logging_0642/klagomålsmail/A 15498-2024 FSC-klagomål mail.docx", "A 15498-2024")</f>
        <v/>
      </c>
      <c r="AC25">
        <f>HYPERLINK("https://klasma.github.io/Logging_0642/tillsyn/A 15498-2024 tillsynsbegäran.docx", "A 15498-2024")</f>
        <v/>
      </c>
      <c r="AD25">
        <f>HYPERLINK("https://klasma.github.io/Logging_0642/tillsynsmail/A 15498-2024 tillsynsbegäran mail.docx", "A 15498-2024")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46293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46293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46293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46293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65493-2021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44516</v>
      </c>
      <c r="E30" s="1" t="n">
        <v>46293</v>
      </c>
      <c r="F30" t="inlineStr">
        <is>
          <t>JÖNKÖPINGS LÄN</t>
        </is>
      </c>
      <c r="G30" t="inlineStr">
        <is>
          <t>MULLSJÖ</t>
        </is>
      </c>
      <c r="H30" t="inlineStr">
        <is>
          <t>Kyrkan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46293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46293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46293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46293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46293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46293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46293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46293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46293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46293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46293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46293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46293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46293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42872-2022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44832</v>
      </c>
      <c r="E46" s="1" t="n">
        <v>46293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45455</v>
      </c>
      <c r="E47" s="1" t="n">
        <v>46293</v>
      </c>
      <c r="F47" t="inlineStr">
        <is>
          <t>JÖNKÖPINGS LÄN</t>
        </is>
      </c>
      <c r="G47" t="inlineStr">
        <is>
          <t>MULLSJÖ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46293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46293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46293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46293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46293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46293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46293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46293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46293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46293</v>
      </c>
      <c r="F57" t="inlineStr">
        <is>
          <t>JÖNKÖPINGS LÄN</t>
        </is>
      </c>
      <c r="G57" t="inlineStr">
        <is>
          <t>MULLSJÖ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46293</v>
      </c>
      <c r="F58" t="inlineStr">
        <is>
          <t>JÖNKÖPINGS LÄN</t>
        </is>
      </c>
      <c r="G58" t="inlineStr">
        <is>
          <t>MULLSJÖ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46293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46293</v>
      </c>
      <c r="F60" t="inlineStr">
        <is>
          <t>JÖNKÖPINGS LÄN</t>
        </is>
      </c>
      <c r="G60" t="inlineStr">
        <is>
          <t>MULLSJÖ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46293</v>
      </c>
      <c r="F61" t="inlineStr">
        <is>
          <t>JÖNKÖPINGS LÄN</t>
        </is>
      </c>
      <c r="G61" t="inlineStr">
        <is>
          <t>MULLSJÖ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46293</v>
      </c>
      <c r="F62" t="inlineStr">
        <is>
          <t>JÖNKÖPINGS LÄN</t>
        </is>
      </c>
      <c r="G62" t="inlineStr">
        <is>
          <t>MULLSJÖ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46293</v>
      </c>
      <c r="F63" t="inlineStr">
        <is>
          <t>JÖNKÖPINGS LÄN</t>
        </is>
      </c>
      <c r="G63" t="inlineStr">
        <is>
          <t>MULLSJÖ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46293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46293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46293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46293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46293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46293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46293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46293</v>
      </c>
      <c r="F71" t="inlineStr">
        <is>
          <t>JÖNKÖPINGS LÄN</t>
        </is>
      </c>
      <c r="G71" t="inlineStr">
        <is>
          <t>MULLSJÖ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46293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46293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46293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46293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46293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46293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46293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44656</v>
      </c>
      <c r="E79" s="1" t="n">
        <v>46293</v>
      </c>
      <c r="F79" t="inlineStr">
        <is>
          <t>JÖNKÖPINGS LÄN</t>
        </is>
      </c>
      <c r="G79" t="inlineStr">
        <is>
          <t>MULLSJÖ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46293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46293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46293</v>
      </c>
      <c r="F82" t="inlineStr">
        <is>
          <t>JÖNKÖPINGS LÄN</t>
        </is>
      </c>
      <c r="G82" t="inlineStr">
        <is>
          <t>MULLSJÖ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46293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46293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46293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46293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18421-2026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46293</v>
      </c>
      <c r="F87" t="inlineStr">
        <is>
          <t>JÖNKÖPINGS LÄN</t>
        </is>
      </c>
      <c r="G87" t="inlineStr">
        <is>
          <t>MULLSJÖ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46293</v>
      </c>
      <c r="F88" t="inlineStr">
        <is>
          <t>JÖNKÖPINGS LÄN</t>
        </is>
      </c>
      <c r="G88" t="inlineStr">
        <is>
          <t>MULLSJÖ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46293</v>
      </c>
      <c r="F89" t="inlineStr">
        <is>
          <t>JÖNKÖPINGS LÄN</t>
        </is>
      </c>
      <c r="G89" t="inlineStr">
        <is>
          <t>MULLSJÖ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46293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46293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46293</v>
      </c>
      <c r="F92" t="inlineStr">
        <is>
          <t>JÖNKÖPINGS LÄN</t>
        </is>
      </c>
      <c r="G92" t="inlineStr">
        <is>
          <t>MULLSJÖ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46293</v>
      </c>
      <c r="F93" t="inlineStr">
        <is>
          <t>JÖNKÖPINGS LÄN</t>
        </is>
      </c>
      <c r="G93" t="inlineStr">
        <is>
          <t>MULLSJÖ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46293</v>
      </c>
      <c r="F94" t="inlineStr">
        <is>
          <t>JÖNKÖPINGS LÄN</t>
        </is>
      </c>
      <c r="G94" t="inlineStr">
        <is>
          <t>MULLSJÖ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62586-2025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46007</v>
      </c>
      <c r="E95" s="1" t="n">
        <v>46293</v>
      </c>
      <c r="F95" t="inlineStr">
        <is>
          <t>JÖNKÖPINGS LÄN</t>
        </is>
      </c>
      <c r="G95" t="inlineStr">
        <is>
          <t>MULLSJÖ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46293</v>
      </c>
      <c r="F96" t="inlineStr">
        <is>
          <t>JÖNKÖPINGS LÄN</t>
        </is>
      </c>
      <c r="G96" t="inlineStr">
        <is>
          <t>MULLSJÖ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46293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46293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16573-2025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45752</v>
      </c>
      <c r="E99" s="1" t="n">
        <v>46293</v>
      </c>
      <c r="F99" t="inlineStr">
        <is>
          <t>JÖNKÖPINGS LÄN</t>
        </is>
      </c>
      <c r="G99" t="inlineStr">
        <is>
          <t>MULLSJÖ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46293</v>
      </c>
      <c r="F100" t="inlineStr">
        <is>
          <t>JÖNKÖPINGS LÄN</t>
        </is>
      </c>
      <c r="G100" t="inlineStr">
        <is>
          <t>MULLSJÖ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46293</v>
      </c>
      <c r="F101" t="inlineStr">
        <is>
          <t>JÖNKÖPINGS LÄN</t>
        </is>
      </c>
      <c r="G101" t="inlineStr">
        <is>
          <t>MULLSJÖ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45083</v>
      </c>
      <c r="E102" s="1" t="n">
        <v>46293</v>
      </c>
      <c r="F102" t="inlineStr">
        <is>
          <t>JÖNKÖPINGS LÄN</t>
        </is>
      </c>
      <c r="G102" t="inlineStr">
        <is>
          <t>MULLSJÖ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46293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50297-2022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46293</v>
      </c>
      <c r="F104" t="inlineStr">
        <is>
          <t>JÖNKÖPINGS LÄN</t>
        </is>
      </c>
      <c r="G104" t="inlineStr">
        <is>
          <t>MULLSJÖ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46293</v>
      </c>
      <c r="F105" t="inlineStr">
        <is>
          <t>JÖNKÖPINGS LÄN</t>
        </is>
      </c>
      <c r="G105" t="inlineStr">
        <is>
          <t>MULLSJÖ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46293</v>
      </c>
      <c r="F106" t="inlineStr">
        <is>
          <t>JÖNKÖPINGS LÄN</t>
        </is>
      </c>
      <c r="G106" t="inlineStr">
        <is>
          <t>MULLSJÖ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46293</v>
      </c>
      <c r="F107" t="inlineStr">
        <is>
          <t>JÖNKÖPINGS LÄN</t>
        </is>
      </c>
      <c r="G107" t="inlineStr">
        <is>
          <t>MULLSJÖ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45495</v>
      </c>
      <c r="E108" s="1" t="n">
        <v>46293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46293</v>
      </c>
      <c r="F109" t="inlineStr">
        <is>
          <t>JÖNKÖPINGS LÄN</t>
        </is>
      </c>
      <c r="G109" t="inlineStr">
        <is>
          <t>MULLSJÖ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46293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46293</v>
      </c>
      <c r="F111" t="inlineStr">
        <is>
          <t>JÖNKÖPINGS LÄN</t>
        </is>
      </c>
      <c r="G111" t="inlineStr">
        <is>
          <t>MULLSJÖ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46293</v>
      </c>
      <c r="F112" t="inlineStr">
        <is>
          <t>JÖNKÖPINGS LÄN</t>
        </is>
      </c>
      <c r="G112" t="inlineStr">
        <is>
          <t>MULLSJÖ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46293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46293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46293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46293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46293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46293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46293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46293</v>
      </c>
      <c r="F120" t="inlineStr">
        <is>
          <t>JÖNKÖPINGS LÄN</t>
        </is>
      </c>
      <c r="G120" t="inlineStr">
        <is>
          <t>MULLSJÖ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46293</v>
      </c>
      <c r="F121" t="inlineStr">
        <is>
          <t>JÖNKÖPINGS LÄN</t>
        </is>
      </c>
      <c r="G121" t="inlineStr">
        <is>
          <t>MULLSJÖ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46293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46293</v>
      </c>
      <c r="F123" t="inlineStr">
        <is>
          <t>JÖNKÖPINGS LÄN</t>
        </is>
      </c>
      <c r="G123" t="inlineStr">
        <is>
          <t>MULLSJÖ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46293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46293</v>
      </c>
      <c r="F125" t="inlineStr">
        <is>
          <t>JÖNKÖPINGS LÄN</t>
        </is>
      </c>
      <c r="G125" t="inlineStr">
        <is>
          <t>MULLSJÖ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46293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46293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46293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46293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46293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46293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46293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46293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46293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46293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46293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46216</v>
      </c>
      <c r="E137" s="1" t="n">
        <v>46293</v>
      </c>
      <c r="F137" t="inlineStr">
        <is>
          <t>JÖNKÖPINGS LÄN</t>
        </is>
      </c>
      <c r="G137" t="inlineStr">
        <is>
          <t>MULLSJÖ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46293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46293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46293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46293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46293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46293</v>
      </c>
      <c r="F143" t="inlineStr">
        <is>
          <t>JÖNKÖPINGS LÄN</t>
        </is>
      </c>
      <c r="G143" t="inlineStr">
        <is>
          <t>MULLSJÖ</t>
        </is>
      </c>
      <c r="H143" t="inlineStr">
        <is>
          <t>Kyrkan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46268</v>
      </c>
      <c r="E144" s="1" t="n">
        <v>46293</v>
      </c>
      <c r="F144" t="inlineStr">
        <is>
          <t>JÖNKÖPINGS LÄN</t>
        </is>
      </c>
      <c r="G144" t="inlineStr">
        <is>
          <t>MULLSJÖ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46293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46293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46293</v>
      </c>
      <c r="F147" t="inlineStr">
        <is>
          <t>JÖNKÖPINGS LÄN</t>
        </is>
      </c>
      <c r="G147" t="inlineStr">
        <is>
          <t>MULLSJÖ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37124-2026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46274</v>
      </c>
      <c r="E148" s="1" t="n">
        <v>46293</v>
      </c>
      <c r="F148" t="inlineStr">
        <is>
          <t>JÖNKÖPINGS LÄN</t>
        </is>
      </c>
      <c r="G148" t="inlineStr">
        <is>
          <t>MULLSJÖ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46293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46293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46293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46293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46293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44954</v>
      </c>
      <c r="E154" s="1" t="n">
        <v>46293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46293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46293</v>
      </c>
      <c r="F156" t="inlineStr">
        <is>
          <t>JÖNKÖPINGS LÄN</t>
        </is>
      </c>
      <c r="G156" t="inlineStr">
        <is>
          <t>MULLSJÖ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46293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46293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46293</v>
      </c>
      <c r="F159" t="inlineStr">
        <is>
          <t>JÖNKÖPINGS LÄN</t>
        </is>
      </c>
      <c r="G159" t="inlineStr">
        <is>
          <t>MULLSJÖ</t>
        </is>
      </c>
      <c r="H159" t="inlineStr">
        <is>
          <t>Kommuner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  <c r="Z159">
        <f>HYPERLINK("https://klasma.github.io/Logging_0642/knärot/A 7181-2023 karta knärot.png", "A 7181-2023")</f>
        <v/>
      </c>
      <c r="AA159">
        <f>HYPERLINK("https://klasma.github.io/Logging_0642/klagomål/A 7181-2023 FSC-klagomål.docx", "A 7181-2023")</f>
        <v/>
      </c>
      <c r="AB159">
        <f>HYPERLINK("https://klasma.github.io/Logging_0642/klagomålsmail/A 7181-2023 FSC-klagomål mail.docx", "A 7181-2023")</f>
        <v/>
      </c>
      <c r="AC159">
        <f>HYPERLINK("https://klasma.github.io/Logging_0642/tillsyn/A 7181-2023 tillsynsbegäran.docx", "A 7181-2023")</f>
        <v/>
      </c>
      <c r="AD159">
        <f>HYPERLINK("https://klasma.github.io/Logging_0642/tillsynsmail/A 7181-2023 tillsynsbegäran mail.docx", "A 7181-2023")</f>
        <v/>
      </c>
    </row>
    <row r="160" ht="15" customHeight="1">
      <c r="A160" t="inlineStr">
        <is>
          <t>A 28605-2023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46293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71048-2021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46293</v>
      </c>
      <c r="F161" t="inlineStr">
        <is>
          <t>JÖNKÖPINGS LÄN</t>
        </is>
      </c>
      <c r="G161" t="inlineStr">
        <is>
          <t>MULLSJÖ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45244</v>
      </c>
      <c r="E162" s="1" t="n">
        <v>46293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46293</v>
      </c>
      <c r="F163" t="inlineStr">
        <is>
          <t>JÖNKÖPINGS LÄN</t>
        </is>
      </c>
      <c r="G163" t="inlineStr">
        <is>
          <t>MULLSJÖ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46293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44954</v>
      </c>
      <c r="E165" s="1" t="n">
        <v>46293</v>
      </c>
      <c r="F165" t="inlineStr">
        <is>
          <t>JÖNKÖPINGS LÄN</t>
        </is>
      </c>
      <c r="G165" t="inlineStr">
        <is>
          <t>MULLSJÖ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46293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46293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46293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46293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45676</v>
      </c>
      <c r="E170" s="1" t="n">
        <v>46293</v>
      </c>
      <c r="F170" t="inlineStr">
        <is>
          <t>JÖNKÖPINGS LÄN</t>
        </is>
      </c>
      <c r="G170" t="inlineStr">
        <is>
          <t>MULLSJÖ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46293</v>
      </c>
      <c r="F171" t="inlineStr">
        <is>
          <t>JÖNKÖPINGS LÄN</t>
        </is>
      </c>
      <c r="G171" t="inlineStr">
        <is>
          <t>MULLSJÖ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44700</v>
      </c>
      <c r="E172" s="1" t="n">
        <v>46293</v>
      </c>
      <c r="F172" t="inlineStr">
        <is>
          <t>JÖNKÖPINGS LÄN</t>
        </is>
      </c>
      <c r="G172" t="inlineStr">
        <is>
          <t>MULLSJÖ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46293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46293</v>
      </c>
      <c r="F174" t="inlineStr">
        <is>
          <t>JÖNKÖPINGS LÄN</t>
        </is>
      </c>
      <c r="G174" t="inlineStr">
        <is>
          <t>MULLSJÖ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46293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46293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46293</v>
      </c>
      <c r="F177" t="inlineStr">
        <is>
          <t>JÖNKÖPINGS LÄN</t>
        </is>
      </c>
      <c r="G177" t="inlineStr">
        <is>
          <t>MULLSJÖ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46293</v>
      </c>
      <c r="F178" t="inlineStr">
        <is>
          <t>JÖNKÖPINGS LÄN</t>
        </is>
      </c>
      <c r="G178" t="inlineStr">
        <is>
          <t>MULLSJÖ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46293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46293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46293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2026-09-28T01:59:07Z</dcterms:created>
  <dcterms:modified xmlns:dcterms="http://purl.org/dc/terms/" xmlns:xsi="http://www.w3.org/2001/XMLSchema-instance" xsi:type="dcterms:W3CDTF">2026-09-28T01:59:08Z</dcterms:modified>
</cp:coreProperties>
</file>