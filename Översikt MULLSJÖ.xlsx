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46217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46217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46217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46217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46217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46217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46217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Ask
Sommarfibbla
Svinrot</t>
        </is>
      </c>
      <c r="V8">
        <f>HYPERLINK("https://klasma.github.io/Logging_0642/artfynd/A 35828-2024 artfynd.xlsx", "A 35828-2024")</f>
        <v/>
      </c>
      <c r="W8">
        <f>HYPERLINK("https://klasma.github.io/Logging_0642/kartor/A 35828-2024 karta.png", "A 35828-2024")</f>
        <v/>
      </c>
      <c r="Y8">
        <f>HYPERLINK("https://klasma.github.io/Logging_0642/klagomål/A 35828-2024 FSC-klagomål.docx", "A 35828-2024")</f>
        <v/>
      </c>
      <c r="Z8">
        <f>HYPERLINK("https://klasma.github.io/Logging_0642/klagomålsmail/A 35828-2024 FSC-klagomål mail.docx", "A 35828-2024")</f>
        <v/>
      </c>
      <c r="AA8">
        <f>HYPERLINK("https://klasma.github.io/Logging_0642/tillsyn/A 35828-2024 tillsynsbegäran.docx", "A 35828-2024")</f>
        <v/>
      </c>
      <c r="AB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46217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Knärot
Lönnlav</t>
        </is>
      </c>
      <c r="V9">
        <f>HYPERLINK("https://klasma.github.io/Logging_0642/artfynd/A 45507-2024 artfynd.xlsx", "A 45507-2024")</f>
        <v/>
      </c>
      <c r="W9">
        <f>HYPERLINK("https://klasma.github.io/Logging_0642/kartor/A 45507-2024 karta.png", "A 45507-2024")</f>
        <v/>
      </c>
      <c r="X9">
        <f>HYPERLINK("https://klasma.github.io/Logging_0642/knärot/A 45507-2024 karta knärot.png", "A 45507-2024")</f>
        <v/>
      </c>
      <c r="Y9">
        <f>HYPERLINK("https://klasma.github.io/Logging_0642/klagomål/A 45507-2024 FSC-klagomål.docx", "A 45507-2024")</f>
        <v/>
      </c>
      <c r="Z9">
        <f>HYPERLINK("https://klasma.github.io/Logging_0642/klagomålsmail/A 45507-2024 FSC-klagomål mail.docx", "A 45507-2024")</f>
        <v/>
      </c>
      <c r="AA9">
        <f>HYPERLINK("https://klasma.github.io/Logging_0642/tillsyn/A 45507-2024 tillsynsbegäran.docx", "A 45507-2024")</f>
        <v/>
      </c>
      <c r="AB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46217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46217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46217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Y12">
        <f>HYPERLINK("https://klasma.github.io/Logging_0642/klagomål/A 7817-2024 FSC-klagomål.docx", "A 7817-2024")</f>
        <v/>
      </c>
      <c r="Z12">
        <f>HYPERLINK("https://klasma.github.io/Logging_0642/klagomålsmail/A 7817-2024 FSC-klagomål mail.docx", "A 7817-2024")</f>
        <v/>
      </c>
      <c r="AA12">
        <f>HYPERLINK("https://klasma.github.io/Logging_0642/tillsyn/A 7817-2024 tillsynsbegäran.docx", "A 7817-2024")</f>
        <v/>
      </c>
      <c r="AB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46217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Y13">
        <f>HYPERLINK("https://klasma.github.io/Logging_0642/klagomål/A 7365-2023 FSC-klagomål.docx", "A 7365-2023")</f>
        <v/>
      </c>
      <c r="Z13">
        <f>HYPERLINK("https://klasma.github.io/Logging_0642/klagomålsmail/A 7365-2023 FSC-klagomål mail.docx", "A 7365-2023")</f>
        <v/>
      </c>
      <c r="AA13">
        <f>HYPERLINK("https://klasma.github.io/Logging_0642/tillsyn/A 7365-2023 tillsynsbegäran.docx", "A 7365-2023")</f>
        <v/>
      </c>
      <c r="AB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46217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46217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46217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HYPERLINK("https://klasma.github.io/Logging_0642/artfynd/A 46006-2022 artfynd.xlsx", "A 46006-2022")</f>
        <v/>
      </c>
      <c r="W16">
        <f>HYPERLINK("https://klasma.github.io/Logging_0642/kartor/A 46006-2022 karta.png", "A 46006-2022")</f>
        <v/>
      </c>
      <c r="Y16">
        <f>HYPERLINK("https://klasma.github.io/Logging_0642/klagomål/A 46006-2022 FSC-klagomål.docx", "A 46006-2022")</f>
        <v/>
      </c>
      <c r="Z16">
        <f>HYPERLINK("https://klasma.github.io/Logging_0642/klagomålsmail/A 46006-2022 FSC-klagomål mail.docx", "A 46006-2022")</f>
        <v/>
      </c>
      <c r="AA16">
        <f>HYPERLINK("https://klasma.github.io/Logging_0642/tillsyn/A 46006-2022 tillsynsbegäran.docx", "A 46006-2022")</f>
        <v/>
      </c>
      <c r="AB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46217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HYPERLINK("https://klasma.github.io/Logging_0642/artfynd/A 7823-2024 artfynd.xlsx", "A 7823-2024")</f>
        <v/>
      </c>
      <c r="W17">
        <f>HYPERLINK("https://klasma.github.io/Logging_0642/kartor/A 7823-2024 karta.png", "A 7823-2024")</f>
        <v/>
      </c>
      <c r="Y17">
        <f>HYPERLINK("https://klasma.github.io/Logging_0642/klagomål/A 7823-2024 FSC-klagomål.docx", "A 7823-2024")</f>
        <v/>
      </c>
      <c r="Z17">
        <f>HYPERLINK("https://klasma.github.io/Logging_0642/klagomålsmail/A 7823-2024 FSC-klagomål mail.docx", "A 7823-2024")</f>
        <v/>
      </c>
      <c r="AA17">
        <f>HYPERLINK("https://klasma.github.io/Logging_0642/tillsyn/A 7823-2024 tillsynsbegäran.docx", "A 7823-2024")</f>
        <v/>
      </c>
      <c r="AB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46217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HYPERLINK("https://klasma.github.io/Logging_0642/artfynd/A 62232-2022 artfynd.xlsx", "A 62232-2022")</f>
        <v/>
      </c>
      <c r="W18">
        <f>HYPERLINK("https://klasma.github.io/Logging_0642/kartor/A 62232-2022 karta.png", "A 62232-2022")</f>
        <v/>
      </c>
      <c r="Y18">
        <f>HYPERLINK("https://klasma.github.io/Logging_0642/klagomål/A 62232-2022 FSC-klagomål.docx", "A 62232-2022")</f>
        <v/>
      </c>
      <c r="Z18">
        <f>HYPERLINK("https://klasma.github.io/Logging_0642/klagomålsmail/A 62232-2022 FSC-klagomål mail.docx", "A 62232-2022")</f>
        <v/>
      </c>
      <c r="AA18">
        <f>HYPERLINK("https://klasma.github.io/Logging_0642/tillsyn/A 62232-2022 tillsynsbegäran.docx", "A 62232-2022")</f>
        <v/>
      </c>
      <c r="AB18">
        <f>HYPERLINK("https://klasma.github.io/Logging_0642/tillsynsmail/A 62232-2022 tillsynsbegäran mail.docx", "A 62232-2022")</f>
        <v/>
      </c>
    </row>
    <row r="19" ht="15" customHeight="1">
      <c r="A19" t="inlineStr">
        <is>
          <t>A 56310-2025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45974</v>
      </c>
      <c r="E19" s="1" t="n">
        <v>46217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HYPERLINK("https://klasma.github.io/Logging_0642/artfynd/A 56310-2025 artfynd.xlsx", "A 56310-2025")</f>
        <v/>
      </c>
      <c r="W19">
        <f>HYPERLINK("https://klasma.github.io/Logging_0642/kartor/A 56310-2025 karta.png", "A 56310-2025")</f>
        <v/>
      </c>
      <c r="Y19">
        <f>HYPERLINK("https://klasma.github.io/Logging_0642/klagomål/A 56310-2025 FSC-klagomål.docx", "A 56310-2025")</f>
        <v/>
      </c>
      <c r="Z19">
        <f>HYPERLINK("https://klasma.github.io/Logging_0642/klagomålsmail/A 56310-2025 FSC-klagomål mail.docx", "A 56310-2025")</f>
        <v/>
      </c>
      <c r="AA19">
        <f>HYPERLINK("https://klasma.github.io/Logging_0642/tillsyn/A 56310-2025 tillsynsbegäran.docx", "A 56310-2025")</f>
        <v/>
      </c>
      <c r="AB19">
        <f>HYPERLINK("https://klasma.github.io/Logging_0642/tillsynsmail/A 56310-2025 tillsynsbegäran mail.docx", "A 56310-2025")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46217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Y20">
        <f>HYPERLINK("https://klasma.github.io/Logging_0642/klagomål/A 55693-2025 FSC-klagomål.docx", "A 55693-2025")</f>
        <v/>
      </c>
      <c r="Z20">
        <f>HYPERLINK("https://klasma.github.io/Logging_0642/klagomålsmail/A 55693-2025 FSC-klagomål mail.docx", "A 55693-2025")</f>
        <v/>
      </c>
      <c r="AA20">
        <f>HYPERLINK("https://klasma.github.io/Logging_0642/tillsyn/A 55693-2025 tillsynsbegäran.docx", "A 55693-2025")</f>
        <v/>
      </c>
      <c r="AB20">
        <f>HYPERLINK("https://klasma.github.io/Logging_0642/tillsynsmail/A 55693-2025 tillsynsbegäran mail.docx", "A 55693-2025")</f>
        <v/>
      </c>
    </row>
    <row r="21" ht="15" customHeight="1">
      <c r="A21" t="inlineStr">
        <is>
          <t>A 14230-2024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45393</v>
      </c>
      <c r="E21" s="1" t="n">
        <v>46217</v>
      </c>
      <c r="F21" t="inlineStr">
        <is>
          <t>JÖNKÖPINGS LÄN</t>
        </is>
      </c>
      <c r="G21" t="inlineStr">
        <is>
          <t>MULLSJÖ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Guldlockmossa</t>
        </is>
      </c>
      <c r="V21">
        <f>HYPERLINK("https://klasma.github.io/Logging_0642/artfynd/A 14230-2024 artfynd.xlsx", "A 14230-2024")</f>
        <v/>
      </c>
      <c r="W21">
        <f>HYPERLINK("https://klasma.github.io/Logging_0642/kartor/A 14230-2024 karta.png", "A 14230-2024")</f>
        <v/>
      </c>
      <c r="Y21">
        <f>HYPERLINK("https://klasma.github.io/Logging_0642/klagomål/A 14230-2024 FSC-klagomål.docx", "A 14230-2024")</f>
        <v/>
      </c>
      <c r="Z21">
        <f>HYPERLINK("https://klasma.github.io/Logging_0642/klagomålsmail/A 14230-2024 FSC-klagomål mail.docx", "A 14230-2024")</f>
        <v/>
      </c>
      <c r="AA21">
        <f>HYPERLINK("https://klasma.github.io/Logging_0642/tillsyn/A 14230-2024 tillsynsbegäran.docx", "A 14230-2024")</f>
        <v/>
      </c>
      <c r="AB21">
        <f>HYPERLINK("https://klasma.github.io/Logging_0642/tillsynsmail/A 14230-2024 tillsynsbegäran mail.docx", "A 14230-2024")</f>
        <v/>
      </c>
    </row>
    <row r="22" ht="15" customHeight="1">
      <c r="A22" t="inlineStr">
        <is>
          <t>A 7821-2024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45349</v>
      </c>
      <c r="E22" s="1" t="n">
        <v>46217</v>
      </c>
      <c r="F22" t="inlineStr">
        <is>
          <t>JÖNKÖPINGS LÄN</t>
        </is>
      </c>
      <c r="G22" t="inlineStr">
        <is>
          <t>MULLSJÖ</t>
        </is>
      </c>
      <c r="I22" t="n">
        <v>8.199999999999999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Slåtterfibbla</t>
        </is>
      </c>
      <c r="V22">
        <f>HYPERLINK("https://klasma.github.io/Logging_0642/artfynd/A 7821-2024 artfynd.xlsx", "A 7821-2024")</f>
        <v/>
      </c>
      <c r="W22">
        <f>HYPERLINK("https://klasma.github.io/Logging_0642/kartor/A 7821-2024 karta.png", "A 7821-2024")</f>
        <v/>
      </c>
      <c r="Y22">
        <f>HYPERLINK("https://klasma.github.io/Logging_0642/klagomål/A 7821-2024 FSC-klagomål.docx", "A 7821-2024")</f>
        <v/>
      </c>
      <c r="Z22">
        <f>HYPERLINK("https://klasma.github.io/Logging_0642/klagomålsmail/A 7821-2024 FSC-klagomål mail.docx", "A 7821-2024")</f>
        <v/>
      </c>
      <c r="AA22">
        <f>HYPERLINK("https://klasma.github.io/Logging_0642/tillsyn/A 7821-2024 tillsynsbegäran.docx", "A 7821-2024")</f>
        <v/>
      </c>
      <c r="AB22">
        <f>HYPERLINK("https://klasma.github.io/Logging_0642/tillsynsmail/A 7821-2024 tillsynsbegäran mail.docx", "A 7821-2024")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46217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Revlummer</t>
        </is>
      </c>
      <c r="V23">
        <f>HYPERLINK("https://klasma.github.io/Logging_0642/artfynd/A 56244-2022 artfynd.xlsx", "A 56244-2022")</f>
        <v/>
      </c>
      <c r="W23">
        <f>HYPERLINK("https://klasma.github.io/Logging_0642/kartor/A 56244-2022 karta.png", "A 56244-2022")</f>
        <v/>
      </c>
      <c r="Y23">
        <f>HYPERLINK("https://klasma.github.io/Logging_0642/klagomål/A 56244-2022 FSC-klagomål.docx", "A 56244-2022")</f>
        <v/>
      </c>
      <c r="Z23">
        <f>HYPERLINK("https://klasma.github.io/Logging_0642/klagomålsmail/A 56244-2022 FSC-klagomål mail.docx", "A 56244-2022")</f>
        <v/>
      </c>
      <c r="AA23">
        <f>HYPERLINK("https://klasma.github.io/Logging_0642/tillsyn/A 56244-2022 tillsynsbegäran.docx", "A 56244-2022")</f>
        <v/>
      </c>
      <c r="AB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46217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Slåtterfibbla</t>
        </is>
      </c>
      <c r="V24">
        <f>HYPERLINK("https://klasma.github.io/Logging_0642/artfynd/A 1221-2026 artfynd.xlsx", "A 1221-2026")</f>
        <v/>
      </c>
      <c r="W24">
        <f>HYPERLINK("https://klasma.github.io/Logging_0642/kartor/A 1221-2026 karta.png", "A 1221-2026")</f>
        <v/>
      </c>
      <c r="Y24">
        <f>HYPERLINK("https://klasma.github.io/Logging_0642/klagomål/A 1221-2026 FSC-klagomål.docx", "A 1221-2026")</f>
        <v/>
      </c>
      <c r="Z24">
        <f>HYPERLINK("https://klasma.github.io/Logging_0642/klagomålsmail/A 1221-2026 FSC-klagomål mail.docx", "A 1221-2026")</f>
        <v/>
      </c>
      <c r="AA24">
        <f>HYPERLINK("https://klasma.github.io/Logging_0642/tillsyn/A 1221-2026 tillsynsbegäran.docx", "A 1221-2026")</f>
        <v/>
      </c>
      <c r="AB24">
        <f>HYPERLINK("https://klasma.github.io/Logging_0642/tillsynsmail/A 1221-2026 tillsynsbegäran mail.docx", "A 1221-2026")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46217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HYPERLINK("https://klasma.github.io/Logging_0642/artfynd/A 57195-2024 artfynd.xlsx", "A 57195-2024")</f>
        <v/>
      </c>
      <c r="W25">
        <f>HYPERLINK("https://klasma.github.io/Logging_0642/kartor/A 57195-2024 karta.png", "A 57195-2024")</f>
        <v/>
      </c>
      <c r="Y25">
        <f>HYPERLINK("https://klasma.github.io/Logging_0642/klagomål/A 57195-2024 FSC-klagomål.docx", "A 57195-2024")</f>
        <v/>
      </c>
      <c r="Z25">
        <f>HYPERLINK("https://klasma.github.io/Logging_0642/klagomålsmail/A 57195-2024 FSC-klagomål mail.docx", "A 57195-2024")</f>
        <v/>
      </c>
      <c r="AA25">
        <f>HYPERLINK("https://klasma.github.io/Logging_0642/tillsyn/A 57195-2024 tillsynsbegäran.docx", "A 57195-2024")</f>
        <v/>
      </c>
      <c r="AB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46217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Västlig hakmossa</t>
        </is>
      </c>
      <c r="V26">
        <f>HYPERLINK("https://klasma.github.io/Logging_0642/artfynd/A 13882-2023 artfynd.xlsx", "A 13882-2023")</f>
        <v/>
      </c>
      <c r="W26">
        <f>HYPERLINK("https://klasma.github.io/Logging_0642/kartor/A 13882-2023 karta.png", "A 13882-2023")</f>
        <v/>
      </c>
      <c r="Y26">
        <f>HYPERLINK("https://klasma.github.io/Logging_0642/klagomål/A 13882-2023 FSC-klagomål.docx", "A 13882-2023")</f>
        <v/>
      </c>
      <c r="Z26">
        <f>HYPERLINK("https://klasma.github.io/Logging_0642/klagomålsmail/A 13882-2023 FSC-klagomål mail.docx", "A 13882-2023")</f>
        <v/>
      </c>
      <c r="AA26">
        <f>HYPERLINK("https://klasma.github.io/Logging_0642/tillsyn/A 13882-2023 tillsynsbegäran.docx", "A 13882-2023")</f>
        <v/>
      </c>
      <c r="AB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46217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s="2" t="inlineStr">
        <is>
          <t>Fläcknycklar</t>
        </is>
      </c>
      <c r="V27">
        <f>HYPERLINK("https://klasma.github.io/Logging_0642/artfynd/A 17825-2026 artfynd.xlsx", "A 17825-2026")</f>
        <v/>
      </c>
      <c r="W27">
        <f>HYPERLINK("https://klasma.github.io/Logging_0642/kartor/A 17825-2026 karta.png", "A 17825-2026")</f>
        <v/>
      </c>
      <c r="Y27">
        <f>HYPERLINK("https://klasma.github.io/Logging_0642/klagomål/A 17825-2026 FSC-klagomål.docx", "A 17825-2026")</f>
        <v/>
      </c>
      <c r="Z27">
        <f>HYPERLINK("https://klasma.github.io/Logging_0642/klagomålsmail/A 17825-2026 FSC-klagomål mail.docx", "A 17825-2026")</f>
        <v/>
      </c>
      <c r="AA27">
        <f>HYPERLINK("https://klasma.github.io/Logging_0642/tillsyn/A 17825-2026 tillsynsbegäran.docx", "A 17825-2026")</f>
        <v/>
      </c>
      <c r="AB27">
        <f>HYPERLINK("https://klasma.github.io/Logging_0642/tillsynsmail/A 17825-2026 tillsynsbegäran mail.docx", "A 17825-2026")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46217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HYPERLINK("https://klasma.github.io/Logging_0642/artfynd/A 44654-2023 artfynd.xlsx", "A 44654-2023")</f>
        <v/>
      </c>
      <c r="W28">
        <f>HYPERLINK("https://klasma.github.io/Logging_0642/kartor/A 44654-2023 karta.png", "A 44654-2023")</f>
        <v/>
      </c>
      <c r="Y28">
        <f>HYPERLINK("https://klasma.github.io/Logging_0642/klagomål/A 44654-2023 FSC-klagomål.docx", "A 44654-2023")</f>
        <v/>
      </c>
      <c r="Z28">
        <f>HYPERLINK("https://klasma.github.io/Logging_0642/klagomålsmail/A 44654-2023 FSC-klagomål mail.docx", "A 44654-2023")</f>
        <v/>
      </c>
      <c r="AA28">
        <f>HYPERLINK("https://klasma.github.io/Logging_0642/tillsyn/A 44654-2023 tillsynsbegäran.docx", "A 44654-2023")</f>
        <v/>
      </c>
      <c r="AB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46217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Knärot</t>
        </is>
      </c>
      <c r="V29">
        <f>HYPERLINK("https://klasma.github.io/Logging_0642/artfynd/A 15498-2024 artfynd.xlsx", "A 15498-2024")</f>
        <v/>
      </c>
      <c r="W29">
        <f>HYPERLINK("https://klasma.github.io/Logging_0642/kartor/A 15498-2024 karta.png", "A 15498-2024")</f>
        <v/>
      </c>
      <c r="X29">
        <f>HYPERLINK("https://klasma.github.io/Logging_0642/knärot/A 15498-2024 karta knärot.png", "A 15498-2024")</f>
        <v/>
      </c>
      <c r="Y29">
        <f>HYPERLINK("https://klasma.github.io/Logging_0642/klagomål/A 15498-2024 FSC-klagomål.docx", "A 15498-2024")</f>
        <v/>
      </c>
      <c r="Z29">
        <f>HYPERLINK("https://klasma.github.io/Logging_0642/klagomålsmail/A 15498-2024 FSC-klagomål mail.docx", "A 15498-2024")</f>
        <v/>
      </c>
      <c r="AA29">
        <f>HYPERLINK("https://klasma.github.io/Logging_0642/tillsyn/A 15498-2024 tillsynsbegäran.docx", "A 15498-2024")</f>
        <v/>
      </c>
      <c r="AB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46217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46217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46217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46217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46217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46217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46217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46217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46217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46217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36580-2021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44391</v>
      </c>
      <c r="E40" s="1" t="n">
        <v>46217</v>
      </c>
      <c r="F40" t="inlineStr">
        <is>
          <t>JÖNKÖPINGS LÄN</t>
        </is>
      </c>
      <c r="G40" t="inlineStr">
        <is>
          <t>MULLSJÖ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9903-2022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44620</v>
      </c>
      <c r="E41" s="1" t="n">
        <v>46217</v>
      </c>
      <c r="F41" t="inlineStr">
        <is>
          <t>JÖNKÖPINGS LÄN</t>
        </is>
      </c>
      <c r="G41" t="inlineStr">
        <is>
          <t>MULLSJÖ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46217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46217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46217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21691-2022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46217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16133-2022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44665</v>
      </c>
      <c r="E46" s="1" t="n">
        <v>46217</v>
      </c>
      <c r="F46" t="inlineStr">
        <is>
          <t>JÖNKÖPINGS LÄN</t>
        </is>
      </c>
      <c r="G46" t="inlineStr">
        <is>
          <t>MULLSJÖ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21693-2022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46217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7278-2025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46217</v>
      </c>
      <c r="F48" t="inlineStr">
        <is>
          <t>JÖNKÖPINGS LÄN</t>
        </is>
      </c>
      <c r="G48" t="inlineStr">
        <is>
          <t>MULLSJÖ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46217</v>
      </c>
      <c r="F49" t="inlineStr">
        <is>
          <t>JÖNKÖPINGS LÄN</t>
        </is>
      </c>
      <c r="G49" t="inlineStr">
        <is>
          <t>MULLSJÖ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46217</v>
      </c>
      <c r="F50" t="inlineStr">
        <is>
          <t>JÖNKÖPINGS LÄN</t>
        </is>
      </c>
      <c r="G50" t="inlineStr">
        <is>
          <t>MULLSJÖ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42872-2022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44832</v>
      </c>
      <c r="E51" s="1" t="n">
        <v>46217</v>
      </c>
      <c r="F51" t="inlineStr">
        <is>
          <t>JÖNKÖPINGS LÄN</t>
        </is>
      </c>
      <c r="G51" t="inlineStr">
        <is>
          <t>MULLSJÖ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45455</v>
      </c>
      <c r="E52" s="1" t="n">
        <v>46217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57025-2022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46217</v>
      </c>
      <c r="F53" t="inlineStr">
        <is>
          <t>JÖNKÖPINGS LÄN</t>
        </is>
      </c>
      <c r="G53" t="inlineStr">
        <is>
          <t>MULLSJÖ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46217</v>
      </c>
      <c r="F54" t="inlineStr">
        <is>
          <t>JÖNKÖPINGS LÄN</t>
        </is>
      </c>
      <c r="G54" t="inlineStr">
        <is>
          <t>MULLSJÖ</t>
        </is>
      </c>
      <c r="I54" t="n">
        <v>10.9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46217</v>
      </c>
      <c r="F55" t="inlineStr">
        <is>
          <t>JÖNKÖPINGS LÄN</t>
        </is>
      </c>
      <c r="G55" t="inlineStr">
        <is>
          <t>MULLSJÖ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46217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46217</v>
      </c>
      <c r="F57" t="inlineStr">
        <is>
          <t>JÖNKÖPINGS LÄN</t>
        </is>
      </c>
      <c r="G57" t="inlineStr">
        <is>
          <t>MULLSJÖ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46217</v>
      </c>
      <c r="F58" t="inlineStr">
        <is>
          <t>JÖNKÖPINGS LÄN</t>
        </is>
      </c>
      <c r="G58" t="inlineStr">
        <is>
          <t>MULLSJÖ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46217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46217</v>
      </c>
      <c r="F60" t="inlineStr">
        <is>
          <t>JÖNKÖPINGS LÄN</t>
        </is>
      </c>
      <c r="G60" t="inlineStr">
        <is>
          <t>MULLSJÖ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46217</v>
      </c>
      <c r="F61" t="inlineStr">
        <is>
          <t>JÖNKÖPINGS LÄN</t>
        </is>
      </c>
      <c r="G61" t="inlineStr">
        <is>
          <t>MULLSJÖ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56145-2022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46217</v>
      </c>
      <c r="F62" t="inlineStr">
        <is>
          <t>JÖNKÖPINGS LÄN</t>
        </is>
      </c>
      <c r="G62" t="inlineStr">
        <is>
          <t>MULLSJÖ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46217</v>
      </c>
      <c r="F63" t="inlineStr">
        <is>
          <t>JÖNKÖPINGS LÄN</t>
        </is>
      </c>
      <c r="G63" t="inlineStr">
        <is>
          <t>MULLSJÖ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57500-2022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46217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46217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33875-2024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45521</v>
      </c>
      <c r="E66" s="1" t="n">
        <v>46217</v>
      </c>
      <c r="F66" t="inlineStr">
        <is>
          <t>JÖNKÖPINGS LÄN</t>
        </is>
      </c>
      <c r="G66" t="inlineStr">
        <is>
          <t>MULLSJÖ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16349-2022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46217</v>
      </c>
      <c r="F67" t="inlineStr">
        <is>
          <t>JÖNKÖPINGS LÄN</t>
        </is>
      </c>
      <c r="G67" t="inlineStr">
        <is>
          <t>MULLSJÖ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46217</v>
      </c>
      <c r="F68" t="inlineStr">
        <is>
          <t>JÖNKÖPINGS LÄN</t>
        </is>
      </c>
      <c r="G68" t="inlineStr">
        <is>
          <t>MULLSJÖ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44656</v>
      </c>
      <c r="E69" s="1" t="n">
        <v>46217</v>
      </c>
      <c r="F69" t="inlineStr">
        <is>
          <t>JÖNKÖPINGS LÄN</t>
        </is>
      </c>
      <c r="G69" t="inlineStr">
        <is>
          <t>MULLSJÖ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21687-2022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46217</v>
      </c>
      <c r="F70" t="inlineStr">
        <is>
          <t>JÖNKÖPINGS LÄN</t>
        </is>
      </c>
      <c r="G70" t="inlineStr">
        <is>
          <t>MULLSJÖ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49733-2024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45596</v>
      </c>
      <c r="E71" s="1" t="n">
        <v>46217</v>
      </c>
      <c r="F71" t="inlineStr">
        <is>
          <t>JÖNKÖPINGS LÄN</t>
        </is>
      </c>
      <c r="G71" t="inlineStr">
        <is>
          <t>MULLSJÖ</t>
        </is>
      </c>
      <c r="I71" t="n">
        <v>15.1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58712-2023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46217</v>
      </c>
      <c r="F72" t="inlineStr">
        <is>
          <t>JÖNKÖPINGS LÄN</t>
        </is>
      </c>
      <c r="G72" t="inlineStr">
        <is>
          <t>MULLSJÖ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46217</v>
      </c>
      <c r="F73" t="inlineStr">
        <is>
          <t>JÖNKÖPINGS LÄN</t>
        </is>
      </c>
      <c r="G73" t="inlineStr">
        <is>
          <t>MULLSJÖ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37133-2025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46217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12273-2023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44998</v>
      </c>
      <c r="E75" s="1" t="n">
        <v>46217</v>
      </c>
      <c r="F75" t="inlineStr">
        <is>
          <t>JÖNKÖPINGS LÄN</t>
        </is>
      </c>
      <c r="G75" t="inlineStr">
        <is>
          <t>MULLSJÖ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46217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37424-2025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46217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46217</v>
      </c>
      <c r="F78" t="inlineStr">
        <is>
          <t>JÖNKÖPINGS LÄN</t>
        </is>
      </c>
      <c r="G78" t="inlineStr">
        <is>
          <t>MULLSJÖ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59503-2024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46217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46217</v>
      </c>
      <c r="F80" t="inlineStr">
        <is>
          <t>JÖNKÖPINGS LÄN</t>
        </is>
      </c>
      <c r="G80" t="inlineStr">
        <is>
          <t>MULLSJÖ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46217</v>
      </c>
      <c r="F81" t="inlineStr">
        <is>
          <t>JÖNKÖPINGS LÄN</t>
        </is>
      </c>
      <c r="G81" t="inlineStr">
        <is>
          <t>MULLSJÖ</t>
        </is>
      </c>
      <c r="H81" t="inlineStr">
        <is>
          <t>Kyrkan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43134-2025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46217</v>
      </c>
      <c r="F82" t="inlineStr">
        <is>
          <t>JÖNKÖPINGS LÄN</t>
        </is>
      </c>
      <c r="G82" t="inlineStr">
        <is>
          <t>MULLSJÖ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7654-2022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46217</v>
      </c>
      <c r="F83" t="inlineStr">
        <is>
          <t>JÖNKÖPINGS LÄN</t>
        </is>
      </c>
      <c r="G83" t="inlineStr">
        <is>
          <t>MULLSJÖ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28940-2025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46217</v>
      </c>
      <c r="F84" t="inlineStr">
        <is>
          <t>JÖNKÖPINGS LÄN</t>
        </is>
      </c>
      <c r="G84" t="inlineStr">
        <is>
          <t>MULLSJÖ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46217</v>
      </c>
      <c r="F85" t="inlineStr">
        <is>
          <t>JÖNKÖPINGS LÄN</t>
        </is>
      </c>
      <c r="G85" t="inlineStr">
        <is>
          <t>MULLSJÖ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49734-2024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46217</v>
      </c>
      <c r="F86" t="inlineStr">
        <is>
          <t>JÖNKÖPINGS LÄN</t>
        </is>
      </c>
      <c r="G86" t="inlineStr">
        <is>
          <t>MULLSJÖ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46217</v>
      </c>
      <c r="F87" t="inlineStr">
        <is>
          <t>JÖNKÖPINGS LÄN</t>
        </is>
      </c>
      <c r="G87" t="inlineStr">
        <is>
          <t>MULLSJÖ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46217</v>
      </c>
      <c r="F88" t="inlineStr">
        <is>
          <t>JÖNKÖPINGS LÄN</t>
        </is>
      </c>
      <c r="G88" t="inlineStr">
        <is>
          <t>MULLSJÖ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46536-2025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46217</v>
      </c>
      <c r="F89" t="inlineStr">
        <is>
          <t>JÖNKÖPINGS LÄN</t>
        </is>
      </c>
      <c r="G89" t="inlineStr">
        <is>
          <t>MULLSJÖ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46848-2025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45928</v>
      </c>
      <c r="E90" s="1" t="n">
        <v>46217</v>
      </c>
      <c r="F90" t="inlineStr">
        <is>
          <t>JÖNKÖPINGS LÄN</t>
        </is>
      </c>
      <c r="G90" t="inlineStr">
        <is>
          <t>MULLSJÖ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46217</v>
      </c>
      <c r="F91" t="inlineStr">
        <is>
          <t>JÖNKÖPINGS LÄN</t>
        </is>
      </c>
      <c r="G91" t="inlineStr">
        <is>
          <t>MULLSJÖ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49779-2025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46217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16573-2025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45752</v>
      </c>
      <c r="E93" s="1" t="n">
        <v>46217</v>
      </c>
      <c r="F93" t="inlineStr">
        <is>
          <t>JÖNKÖPINGS LÄN</t>
        </is>
      </c>
      <c r="G93" t="inlineStr">
        <is>
          <t>MULLSJÖ</t>
        </is>
      </c>
      <c r="I93" t="n">
        <v>9.6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40960-2023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46217</v>
      </c>
      <c r="F94" t="inlineStr">
        <is>
          <t>JÖNKÖPINGS LÄN</t>
        </is>
      </c>
      <c r="G94" t="inlineStr">
        <is>
          <t>MULLSJÖ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57423-2023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46217</v>
      </c>
      <c r="F95" t="inlineStr">
        <is>
          <t>JÖNKÖPINGS LÄN</t>
        </is>
      </c>
      <c r="G95" t="inlineStr">
        <is>
          <t>MULLSJÖ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15189-2023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45016</v>
      </c>
      <c r="E96" s="1" t="n">
        <v>46217</v>
      </c>
      <c r="F96" t="inlineStr">
        <is>
          <t>JÖNKÖPINGS LÄN</t>
        </is>
      </c>
      <c r="G96" t="inlineStr">
        <is>
          <t>MULLSJÖ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46217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46217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44865</v>
      </c>
      <c r="E99" s="1" t="n">
        <v>46217</v>
      </c>
      <c r="F99" t="inlineStr">
        <is>
          <t>JÖNKÖPINGS LÄN</t>
        </is>
      </c>
      <c r="G99" t="inlineStr">
        <is>
          <t>MULLSJÖ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16567-2025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46217</v>
      </c>
      <c r="F100" t="inlineStr">
        <is>
          <t>JÖNKÖPINGS LÄN</t>
        </is>
      </c>
      <c r="G100" t="inlineStr">
        <is>
          <t>MULLSJÖ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46217</v>
      </c>
      <c r="F101" t="inlineStr">
        <is>
          <t>JÖNKÖPINGS LÄN</t>
        </is>
      </c>
      <c r="G101" t="inlineStr">
        <is>
          <t>MULLSJÖ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16570-2025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46217</v>
      </c>
      <c r="F102" t="inlineStr">
        <is>
          <t>JÖNKÖPINGS LÄN</t>
        </is>
      </c>
      <c r="G102" t="inlineStr">
        <is>
          <t>MULLSJÖ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30641-2024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45495</v>
      </c>
      <c r="E103" s="1" t="n">
        <v>46217</v>
      </c>
      <c r="F103" t="inlineStr">
        <is>
          <t>JÖNKÖPINGS LÄN</t>
        </is>
      </c>
      <c r="G103" t="inlineStr">
        <is>
          <t>MULLSJÖ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45313</v>
      </c>
      <c r="E104" s="1" t="n">
        <v>46217</v>
      </c>
      <c r="F104" t="inlineStr">
        <is>
          <t>JÖNKÖPINGS LÄN</t>
        </is>
      </c>
      <c r="G104" t="inlineStr">
        <is>
          <t>MULLSJÖ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24566-2023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46217</v>
      </c>
      <c r="F105" t="inlineStr">
        <is>
          <t>JÖNKÖPINGS LÄN</t>
        </is>
      </c>
      <c r="G105" t="inlineStr">
        <is>
          <t>MULLSJÖ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46217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44954</v>
      </c>
      <c r="E107" s="1" t="n">
        <v>46217</v>
      </c>
      <c r="F107" t="inlineStr">
        <is>
          <t>JÖNKÖPINGS LÄN</t>
        </is>
      </c>
      <c r="G107" t="inlineStr">
        <is>
          <t>MULLSJÖ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46217</v>
      </c>
      <c r="F108" t="inlineStr">
        <is>
          <t>JÖNKÖPINGS LÄN</t>
        </is>
      </c>
      <c r="G108" t="inlineStr">
        <is>
          <t>MULLSJÖ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46217</v>
      </c>
      <c r="F109" t="inlineStr">
        <is>
          <t>JÖNKÖPINGS LÄN</t>
        </is>
      </c>
      <c r="G109" t="inlineStr">
        <is>
          <t>MULLSJÖ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46217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45305</v>
      </c>
      <c r="E111" s="1" t="n">
        <v>46217</v>
      </c>
      <c r="F111" t="inlineStr">
        <is>
          <t>JÖNKÖPINGS LÄN</t>
        </is>
      </c>
      <c r="G111" t="inlineStr">
        <is>
          <t>MULLSJÖ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62586-2025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46007</v>
      </c>
      <c r="E112" s="1" t="n">
        <v>46217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62956-2025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46217</v>
      </c>
      <c r="F113" t="inlineStr">
        <is>
          <t>JÖNKÖPINGS LÄN</t>
        </is>
      </c>
      <c r="G113" t="inlineStr">
        <is>
          <t>MULLSJÖ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46217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15707-2025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46217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46217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46217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28508-2026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46217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37797-2024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45543</v>
      </c>
      <c r="E119" s="1" t="n">
        <v>46217</v>
      </c>
      <c r="F119" t="inlineStr">
        <is>
          <t>JÖNKÖPINGS LÄN</t>
        </is>
      </c>
      <c r="G119" t="inlineStr">
        <is>
          <t>MULLSJÖ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46217</v>
      </c>
      <c r="F120" t="inlineStr">
        <is>
          <t>JÖNKÖPINGS LÄN</t>
        </is>
      </c>
      <c r="G120" t="inlineStr">
        <is>
          <t>MULLSJÖ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16571-2025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45752</v>
      </c>
      <c r="E121" s="1" t="n">
        <v>46217</v>
      </c>
      <c r="F121" t="inlineStr">
        <is>
          <t>JÖNKÖPINGS LÄN</t>
        </is>
      </c>
      <c r="G121" t="inlineStr">
        <is>
          <t>MULLSJÖ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46217</v>
      </c>
      <c r="F122" t="inlineStr">
        <is>
          <t>JÖNKÖPINGS LÄN</t>
        </is>
      </c>
      <c r="G122" t="inlineStr">
        <is>
          <t>MULLSJÖ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46217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46901-2023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46217</v>
      </c>
      <c r="F124" t="inlineStr">
        <is>
          <t>JÖNKÖPINGS LÄN</t>
        </is>
      </c>
      <c r="G124" t="inlineStr">
        <is>
          <t>MULLSJÖ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40661-2023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46217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11282-2024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46217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45682</v>
      </c>
      <c r="E127" s="1" t="n">
        <v>46217</v>
      </c>
      <c r="F127" t="inlineStr">
        <is>
          <t>JÖNKÖPINGS LÄN</t>
        </is>
      </c>
      <c r="G127" t="inlineStr">
        <is>
          <t>MULLSJÖ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40157-2023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46217</v>
      </c>
      <c r="F128" t="inlineStr">
        <is>
          <t>JÖNKÖPINGS LÄN</t>
        </is>
      </c>
      <c r="G128" t="inlineStr">
        <is>
          <t>MULLSJÖ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46217</v>
      </c>
      <c r="F129" t="inlineStr">
        <is>
          <t>JÖNKÖPINGS LÄN</t>
        </is>
      </c>
      <c r="G129" t="inlineStr">
        <is>
          <t>MULLSJÖ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14742-2022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46217</v>
      </c>
      <c r="F130" t="inlineStr">
        <is>
          <t>JÖNKÖPINGS LÄN</t>
        </is>
      </c>
      <c r="G130" t="inlineStr">
        <is>
          <t>MULLSJÖ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14745-2022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46217</v>
      </c>
      <c r="F131" t="inlineStr">
        <is>
          <t>JÖNKÖPINGS LÄN</t>
        </is>
      </c>
      <c r="G131" t="inlineStr">
        <is>
          <t>MULLSJÖ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49925-2023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45214</v>
      </c>
      <c r="E132" s="1" t="n">
        <v>46217</v>
      </c>
      <c r="F132" t="inlineStr">
        <is>
          <t>JÖNKÖPINGS LÄN</t>
        </is>
      </c>
      <c r="G132" t="inlineStr">
        <is>
          <t>MULLSJÖ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59332-2024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46217</v>
      </c>
      <c r="F133" t="inlineStr">
        <is>
          <t>JÖNKÖPINGS LÄN</t>
        </is>
      </c>
      <c r="G133" t="inlineStr">
        <is>
          <t>MULLSJÖ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46217</v>
      </c>
      <c r="F134" t="inlineStr">
        <is>
          <t>JÖNKÖPINGS LÄN</t>
        </is>
      </c>
      <c r="G134" t="inlineStr">
        <is>
          <t>MULLSJÖ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11220-2026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46080</v>
      </c>
      <c r="E135" s="1" t="n">
        <v>46217</v>
      </c>
      <c r="F135" t="inlineStr">
        <is>
          <t>JÖNKÖPINGS LÄN</t>
        </is>
      </c>
      <c r="G135" t="inlineStr">
        <is>
          <t>MULLSJÖ</t>
        </is>
      </c>
      <c r="H135" t="inlineStr">
        <is>
          <t>Kyrkan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14064-2025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46217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12351-2026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46088</v>
      </c>
      <c r="E137" s="1" t="n">
        <v>46217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45337</v>
      </c>
      <c r="E138" s="1" t="n">
        <v>46217</v>
      </c>
      <c r="F138" t="inlineStr">
        <is>
          <t>JÖNKÖPINGS LÄN</t>
        </is>
      </c>
      <c r="G138" t="inlineStr">
        <is>
          <t>MULLSJÖ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46217</v>
      </c>
      <c r="F139" t="inlineStr">
        <is>
          <t>JÖNKÖPINGS LÄN</t>
        </is>
      </c>
      <c r="G139" t="inlineStr">
        <is>
          <t>MULLSJÖ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11515-2024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45372</v>
      </c>
      <c r="E140" s="1" t="n">
        <v>46217</v>
      </c>
      <c r="F140" t="inlineStr">
        <is>
          <t>JÖNKÖPINGS LÄN</t>
        </is>
      </c>
      <c r="G140" t="inlineStr">
        <is>
          <t>MULLSJÖ</t>
        </is>
      </c>
      <c r="H140" t="inlineStr">
        <is>
          <t>Kyrkan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15629-2026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46217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46217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17821-2026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46122</v>
      </c>
      <c r="E143" s="1" t="n">
        <v>46217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46217</v>
      </c>
      <c r="F144" t="inlineStr">
        <is>
          <t>JÖNKÖPINGS LÄN</t>
        </is>
      </c>
      <c r="G144" t="inlineStr">
        <is>
          <t>MULLSJÖ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18421-2026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46126</v>
      </c>
      <c r="E145" s="1" t="n">
        <v>46217</v>
      </c>
      <c r="F145" t="inlineStr">
        <is>
          <t>JÖNKÖPINGS LÄN</t>
        </is>
      </c>
      <c r="G145" t="inlineStr">
        <is>
          <t>MULLSJÖ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28791-2024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45478</v>
      </c>
      <c r="E146" s="1" t="n">
        <v>46217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46217</v>
      </c>
      <c r="F147" t="inlineStr">
        <is>
          <t>JÖNKÖPINGS LÄN</t>
        </is>
      </c>
      <c r="G147" t="inlineStr">
        <is>
          <t>MULLSJÖ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31157-2026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46216</v>
      </c>
      <c r="E148" s="1" t="n">
        <v>46217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46217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46217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46217</v>
      </c>
      <c r="F151" t="inlineStr">
        <is>
          <t>JÖNKÖPINGS LÄN</t>
        </is>
      </c>
      <c r="G151" t="inlineStr">
        <is>
          <t>MULLSJÖ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31162-2026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46216</v>
      </c>
      <c r="E152" s="1" t="n">
        <v>46217</v>
      </c>
      <c r="F152" t="inlineStr">
        <is>
          <t>JÖNKÖPINGS LÄN</t>
        </is>
      </c>
      <c r="G152" t="inlineStr">
        <is>
          <t>MULLSJÖ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23128-2024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46217</v>
      </c>
      <c r="F153" t="inlineStr">
        <is>
          <t>JÖNKÖPINGS LÄN</t>
        </is>
      </c>
      <c r="G153" t="inlineStr">
        <is>
          <t>MULLSJÖ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44970</v>
      </c>
      <c r="E154" s="1" t="n">
        <v>46217</v>
      </c>
      <c r="F154" t="inlineStr">
        <is>
          <t>JÖNKÖPINGS LÄN</t>
        </is>
      </c>
      <c r="G154" t="inlineStr">
        <is>
          <t>MULLSJÖ</t>
        </is>
      </c>
      <c r="H154" t="inlineStr">
        <is>
          <t>Kommuner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  <c r="X154">
        <f>HYPERLINK("https://klasma.github.io/Logging_0642/knärot/A 7181-2023 karta knärot.png", "A 7181-2023")</f>
        <v/>
      </c>
      <c r="Y154">
        <f>HYPERLINK("https://klasma.github.io/Logging_0642/klagomål/A 7181-2023 FSC-klagomål.docx", "A 7181-2023")</f>
        <v/>
      </c>
      <c r="Z154">
        <f>HYPERLINK("https://klasma.github.io/Logging_0642/klagomålsmail/A 7181-2023 FSC-klagomål mail.docx", "A 7181-2023")</f>
        <v/>
      </c>
      <c r="AA154">
        <f>HYPERLINK("https://klasma.github.io/Logging_0642/tillsyn/A 7181-2023 tillsynsbegäran.docx", "A 7181-2023")</f>
        <v/>
      </c>
      <c r="AB154">
        <f>HYPERLINK("https://klasma.github.io/Logging_0642/tillsynsmail/A 7181-2023 tillsynsbegäran mail.docx", "A 7181-2023")</f>
        <v/>
      </c>
    </row>
    <row r="155" ht="15" customHeight="1">
      <c r="A155" t="inlineStr">
        <is>
          <t>A 28605-2023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46217</v>
      </c>
      <c r="F155" t="inlineStr">
        <is>
          <t>JÖNKÖPINGS LÄN</t>
        </is>
      </c>
      <c r="G155" t="inlineStr">
        <is>
          <t>MULLSJÖ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71048-2021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44538</v>
      </c>
      <c r="E156" s="1" t="n">
        <v>46217</v>
      </c>
      <c r="F156" t="inlineStr">
        <is>
          <t>JÖNKÖPINGS LÄN</t>
        </is>
      </c>
      <c r="G156" t="inlineStr">
        <is>
          <t>MULLSJÖ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56876-2023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45244</v>
      </c>
      <c r="E157" s="1" t="n">
        <v>46217</v>
      </c>
      <c r="F157" t="inlineStr">
        <is>
          <t>JÖNKÖPINGS LÄN</t>
        </is>
      </c>
      <c r="G157" t="inlineStr">
        <is>
          <t>MULLSJÖ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23789-2024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45455</v>
      </c>
      <c r="E158" s="1" t="n">
        <v>46217</v>
      </c>
      <c r="F158" t="inlineStr">
        <is>
          <t>JÖNKÖPINGS LÄN</t>
        </is>
      </c>
      <c r="G158" t="inlineStr">
        <is>
          <t>MULLSJÖ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44954</v>
      </c>
      <c r="E159" s="1" t="n">
        <v>46217</v>
      </c>
      <c r="F159" t="inlineStr">
        <is>
          <t>JÖNKÖPINGS LÄN</t>
        </is>
      </c>
      <c r="G159" t="inlineStr">
        <is>
          <t>MULLSJÖ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46217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46217</v>
      </c>
      <c r="F161" t="inlineStr">
        <is>
          <t>JÖNKÖPINGS LÄN</t>
        </is>
      </c>
      <c r="G161" t="inlineStr">
        <is>
          <t>MULLSJÖ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46217</v>
      </c>
      <c r="F162" t="inlineStr">
        <is>
          <t>JÖNKÖPINGS LÄN</t>
        </is>
      </c>
      <c r="G162" t="inlineStr">
        <is>
          <t>MULLSJÖ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22270-2024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46217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45676</v>
      </c>
      <c r="E164" s="1" t="n">
        <v>46217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27549-2022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46217</v>
      </c>
      <c r="F165" t="inlineStr">
        <is>
          <t>JÖNKÖPINGS LÄN</t>
        </is>
      </c>
      <c r="G165" t="inlineStr">
        <is>
          <t>MULLSJÖ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46217</v>
      </c>
      <c r="F166" t="inlineStr">
        <is>
          <t>JÖNKÖPINGS LÄN</t>
        </is>
      </c>
      <c r="G166" t="inlineStr">
        <is>
          <t>MULLSJÖ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46217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46217</v>
      </c>
      <c r="F168" t="inlineStr">
        <is>
          <t>JÖNKÖPINGS LÄN</t>
        </is>
      </c>
      <c r="G168" t="inlineStr">
        <is>
          <t>MULLSJÖ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46217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46217</v>
      </c>
      <c r="F170" t="inlineStr">
        <is>
          <t>JÖNKÖPINGS LÄN</t>
        </is>
      </c>
      <c r="G170" t="inlineStr">
        <is>
          <t>MULLSJÖ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45484</v>
      </c>
      <c r="E171" s="1" t="n">
        <v>46217</v>
      </c>
      <c r="F171" t="inlineStr">
        <is>
          <t>JÖNKÖPINGS LÄN</t>
        </is>
      </c>
      <c r="G171" t="inlineStr">
        <is>
          <t>MULLSJÖ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46217</v>
      </c>
      <c r="F172" t="inlineStr">
        <is>
          <t>JÖNKÖPINGS LÄN</t>
        </is>
      </c>
      <c r="G172" t="inlineStr">
        <is>
          <t>MULLSJÖ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14033-2025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46217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46217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46217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14029-2025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46217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46217</v>
      </c>
      <c r="F177" t="inlineStr">
        <is>
          <t>JÖNKÖPINGS LÄN</t>
        </is>
      </c>
      <c r="G177" t="inlineStr">
        <is>
          <t>MULLSJÖ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46217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46217</v>
      </c>
      <c r="F179" t="inlineStr">
        <is>
          <t>JÖNKÖPINGS LÄN</t>
        </is>
      </c>
      <c r="G179" t="inlineStr">
        <is>
          <t>MULLSJÖ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46217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46217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46217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2026-07-14T09:00:42Z</dcterms:created>
  <dcterms:modified xmlns:dcterms="http://purl.org/dc/terms/" xmlns:xsi="http://www.w3.org/2001/XMLSchema-instance" xsi:type="dcterms:W3CDTF">2026-07-14T09:00:42Z</dcterms:modified>
</cp:coreProperties>
</file>