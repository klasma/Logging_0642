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875-2025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45735</v>
      </c>
      <c r="E2" s="1" t="n">
        <v>46313</v>
      </c>
      <c r="F2" t="inlineStr">
        <is>
          <t>JÖNKÖPINGS LÄN</t>
        </is>
      </c>
      <c r="G2" t="inlineStr">
        <is>
          <t>MULLSJÖ</t>
        </is>
      </c>
      <c r="I2" t="n">
        <v>2.8</v>
      </c>
      <c r="J2" t="n">
        <v>1</v>
      </c>
      <c r="K2" t="n">
        <v>8</v>
      </c>
      <c r="L2" t="n">
        <v>10</v>
      </c>
      <c r="M2" t="n">
        <v>0</v>
      </c>
      <c r="N2" t="n">
        <v>2</v>
      </c>
      <c r="O2" t="n">
        <v>0</v>
      </c>
      <c r="P2" t="n">
        <v>0</v>
      </c>
      <c r="Q2" t="n">
        <v>12</v>
      </c>
      <c r="R2" t="n">
        <v>2</v>
      </c>
      <c r="S2" t="n">
        <v>21</v>
      </c>
      <c r="T2" t="n">
        <v>35</v>
      </c>
      <c r="U2" t="n">
        <v>10</v>
      </c>
      <c r="V2" s="2" t="inlineStr">
        <is>
          <t>Ask
Skogsalm
Backstarr
Brunpudrad nållav
Desmeknopp
Lunglav
Slåtterfibbla
Storgröe
Stubbtrådmossa
Trollfibbla
Vårstarr
Vårärt
Barkticka
Hässleklocka
Lönnlav
Skogshakmossa
Strutbräken
Stubbspretmossa
Trubbfjädermossa
Vätteros
Blåsippa</t>
        </is>
      </c>
      <c r="W2">
        <f>HYPERLINK("https://klasma.github.io/Logging_0642/artfynd/S 875-2025 artfynd.xlsx", "S 875-2025")</f>
        <v/>
      </c>
      <c r="X2">
        <f>HYPERLINK("https://klasma.github.io/Logging_0642/kartor/S 875-2025 karta.png", "S 875-2025")</f>
        <v/>
      </c>
      <c r="Y2">
        <f>HYPERLINK("https://klasma.github.io/Logging_0642/kartor_geotiff/S 875-2025 georefererad karta.tif", "S 875-2025")</f>
        <v/>
      </c>
      <c r="AA2">
        <f>HYPERLINK("https://klasma.github.io/Logging_0642/klagomål/S 875-2025 FSC-klagomål.docx", "S 875-2025")</f>
        <v/>
      </c>
      <c r="AB2">
        <f>HYPERLINK("https://klasma.github.io/Logging_0642/klagomålsmail/S 875-2025 FSC-klagomål mail.docx", "S 875-2025")</f>
        <v/>
      </c>
      <c r="AC2">
        <f>HYPERLINK("https://klasma.github.io/Logging_0642/tillsyn/S 875-2025 tillsynsbegäran.docx", "S 875-2025")</f>
        <v/>
      </c>
      <c r="AD2">
        <f>HYPERLINK("https://klasma.github.io/Logging_0642/tillsynsmail/S 875-2025 tillsynsbegäran mail.docx", "S 875-2025")</f>
        <v/>
      </c>
    </row>
    <row r="3" ht="15" customHeight="1">
      <c r="A3" t="inlineStr">
        <is>
          <t>S 619-2024</t>
        </is>
      </c>
      <c r="B3" t="inlineStr">
        <is>
          <t>samrådsanmälan</t>
        </is>
      </c>
      <c r="C3" t="inlineStr">
        <is>
          <t>Askåterföring</t>
        </is>
      </c>
      <c r="D3" s="1" t="n">
        <v>45355</v>
      </c>
      <c r="E3" s="1" t="n">
        <v>46313</v>
      </c>
      <c r="F3" t="inlineStr">
        <is>
          <t>JÖNKÖPINGS LÄN</t>
        </is>
      </c>
      <c r="G3" t="inlineStr">
        <is>
          <t>MULLSJÖ</t>
        </is>
      </c>
      <c r="I3" t="n">
        <v>143</v>
      </c>
      <c r="J3" t="n">
        <v>19</v>
      </c>
      <c r="K3" t="n">
        <v>0</v>
      </c>
      <c r="L3" t="n">
        <v>5</v>
      </c>
      <c r="M3" t="n">
        <v>0</v>
      </c>
      <c r="N3" t="n">
        <v>1</v>
      </c>
      <c r="O3" t="n">
        <v>0</v>
      </c>
      <c r="P3" t="n">
        <v>0</v>
      </c>
      <c r="Q3" t="n">
        <v>6</v>
      </c>
      <c r="R3" t="n">
        <v>1</v>
      </c>
      <c r="S3" t="n">
        <v>19</v>
      </c>
      <c r="T3" t="n">
        <v>22</v>
      </c>
      <c r="U3" t="n">
        <v>1</v>
      </c>
      <c r="V3" s="2" t="inlineStr">
        <is>
          <t>Mosippa
Duvhök
Enkelbeckasin
Gulsparv
Göktyta
Sparvuggla
Järpe
Nattskärra
Spillkråka
Tjäder
Buskskvätta
Grönsiska
Hasselmus
Havsörn
Kungsfågel
Orre
Trana
Trädlärka
Törnskata</t>
        </is>
      </c>
      <c r="W3">
        <f>HYPERLINK("https://klasma.github.io/Logging_0642/artfynd/S 619-2024 artfynd.xlsx", "S 619-2024")</f>
        <v/>
      </c>
      <c r="X3">
        <f>HYPERLINK("https://klasma.github.io/Logging_0642/kartor/S 619-2024 karta.png", "S 619-2024")</f>
        <v/>
      </c>
      <c r="Y3">
        <f>HYPERLINK("https://klasma.github.io/Logging_0642/kartor_geotiff/S 619-2024 georefererad karta.tif", "S 619-2024")</f>
        <v/>
      </c>
      <c r="AA3">
        <f>HYPERLINK("https://klasma.github.io/Logging_0642/klagomål/S 619-2024 FSC-klagomål.docx", "S 619-2024")</f>
        <v/>
      </c>
      <c r="AB3">
        <f>HYPERLINK("https://klasma.github.io/Logging_0642/klagomålsmail/S 619-2024 FSC-klagomål mail.docx", "S 619-2024")</f>
        <v/>
      </c>
      <c r="AC3">
        <f>HYPERLINK("https://klasma.github.io/Logging_0642/tillsyn/S 619-2024 tillsynsbegäran.docx", "S 619-2024")</f>
        <v/>
      </c>
      <c r="AD3">
        <f>HYPERLINK("https://klasma.github.io/Logging_0642/tillsynsmail/S 619-2024 tillsynsbegäran mail.docx", "S 619-2024")</f>
        <v/>
      </c>
      <c r="AE3">
        <f>HYPERLINK("https://klasma.github.io/Logging_0642/fåglar/S 619-2024 prioriterade fågelarter.docx", "S 619-2024")</f>
        <v/>
      </c>
    </row>
    <row r="4" ht="15" customHeight="1">
      <c r="A4" t="inlineStr">
        <is>
          <t>A 14606-2024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45396</v>
      </c>
      <c r="E4" s="1" t="n">
        <v>46313</v>
      </c>
      <c r="F4" t="inlineStr">
        <is>
          <t>JÖNKÖPINGS LÄN</t>
        </is>
      </c>
      <c r="G4" t="inlineStr">
        <is>
          <t>MULLSJÖ</t>
        </is>
      </c>
      <c r="I4" t="n">
        <v>9.699999999999999</v>
      </c>
      <c r="J4" t="n">
        <v>1</v>
      </c>
      <c r="K4" t="n">
        <v>9</v>
      </c>
      <c r="L4" t="n">
        <v>3</v>
      </c>
      <c r="M4" t="n">
        <v>1</v>
      </c>
      <c r="N4" t="n">
        <v>0</v>
      </c>
      <c r="O4" t="n">
        <v>0</v>
      </c>
      <c r="P4" t="n">
        <v>0</v>
      </c>
      <c r="Q4" t="n">
        <v>4</v>
      </c>
      <c r="R4" t="n">
        <v>1</v>
      </c>
      <c r="S4" t="n">
        <v>13</v>
      </c>
      <c r="T4" t="n">
        <v>46</v>
      </c>
      <c r="U4" t="n">
        <v>46</v>
      </c>
      <c r="V4" s="2" t="inlineStr">
        <is>
          <t>Ädellav
Brunpudrad nållav
Grynig filtlav
Lunglav
Brandticka
Grön sköldmossa
Gulnål
Korallblylav
Lönnlav
Mörk husmossa
Skinnlav
Skogshakmossa
Skuggsprötmossa</t>
        </is>
      </c>
      <c r="W4">
        <f>HYPERLINK("https://klasma.github.io/Logging_0642/artfynd/A 14606-2024 artfynd.xlsx", "A 14606-2024")</f>
        <v/>
      </c>
      <c r="X4">
        <f>HYPERLINK("https://klasma.github.io/Logging_0642/kartor/A 14606-2024 karta.png", "A 14606-2024")</f>
        <v/>
      </c>
      <c r="Y4">
        <f>HYPERLINK("https://klasma.github.io/Logging_0642/kartor_geotiff/A 14606-2024 georefererad karta.tif", "A 14606-2024")</f>
        <v/>
      </c>
      <c r="AA4">
        <f>HYPERLINK("https://klasma.github.io/Logging_0642/klagomål/A 14606-2024 FSC-klagomål.docx", "A 14606-2024")</f>
        <v/>
      </c>
      <c r="AB4">
        <f>HYPERLINK("https://klasma.github.io/Logging_0642/klagomålsmail/A 14606-2024 FSC-klagomål mail.docx", "A 14606-2024")</f>
        <v/>
      </c>
      <c r="AC4">
        <f>HYPERLINK("https://klasma.github.io/Logging_0642/tillsyn/A 14606-2024 tillsynsbegäran.docx", "A 14606-2024")</f>
        <v/>
      </c>
      <c r="AD4">
        <f>HYPERLINK("https://klasma.github.io/Logging_0642/tillsynsmail/A 14606-2024 tillsynsbegäran mail.docx", "A 14606-2024")</f>
        <v/>
      </c>
    </row>
    <row r="5" ht="15" customHeight="1">
      <c r="A5" t="inlineStr">
        <is>
          <t>A 16467-2025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45751</v>
      </c>
      <c r="E5" s="1" t="n">
        <v>46313</v>
      </c>
      <c r="F5" t="inlineStr">
        <is>
          <t>JÖNKÖPINGS LÄN</t>
        </is>
      </c>
      <c r="G5" t="inlineStr">
        <is>
          <t>MULLSJÖ</t>
        </is>
      </c>
      <c r="I5" t="n">
        <v>2.1</v>
      </c>
      <c r="J5" t="n">
        <v>2</v>
      </c>
      <c r="K5" t="n">
        <v>4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1</v>
      </c>
      <c r="S5" t="n">
        <v>9</v>
      </c>
      <c r="T5" t="n">
        <v>13</v>
      </c>
      <c r="U5" t="n">
        <v>11</v>
      </c>
      <c r="V5" s="2" t="inlineStr">
        <is>
          <t>Backsippa
Brunpudrad nållav
Stor sotdyna
Grön sköldmossa
Gulnål
Kornig nållav
Lönnlav
Bandpraktmossa
Kransmossa</t>
        </is>
      </c>
      <c r="W5">
        <f>HYPERLINK("https://klasma.github.io/Logging_0642/artfynd/A 16467-2025 artfynd.xlsx", "A 16467-2025")</f>
        <v/>
      </c>
      <c r="X5">
        <f>HYPERLINK("https://klasma.github.io/Logging_0642/kartor/A 16467-2025 karta.png", "A 16467-2025")</f>
        <v/>
      </c>
      <c r="Y5">
        <f>HYPERLINK("https://klasma.github.io/Logging_0642/kartor_geotiff/A 16467-2025 georefererad karta.tif", "A 16467-2025")</f>
        <v/>
      </c>
      <c r="AA5">
        <f>HYPERLINK("https://klasma.github.io/Logging_0642/klagomål/A 16467-2025 FSC-klagomål.docx", "A 16467-2025")</f>
        <v/>
      </c>
      <c r="AB5">
        <f>HYPERLINK("https://klasma.github.io/Logging_0642/klagomålsmail/A 16467-2025 FSC-klagomål mail.docx", "A 16467-2025")</f>
        <v/>
      </c>
      <c r="AC5">
        <f>HYPERLINK("https://klasma.github.io/Logging_0642/tillsyn/A 16467-2025 tillsynsbegäran.docx", "A 16467-2025")</f>
        <v/>
      </c>
      <c r="AD5">
        <f>HYPERLINK("https://klasma.github.io/Logging_0642/tillsynsmail/A 16467-2025 tillsynsbegäran mail.docx", "A 16467-2025")</f>
        <v/>
      </c>
    </row>
    <row r="6" ht="15" customHeight="1">
      <c r="A6" t="inlineStr">
        <is>
          <t>A 13663-2023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45006</v>
      </c>
      <c r="E6" s="1" t="n">
        <v>46313</v>
      </c>
      <c r="F6" t="inlineStr">
        <is>
          <t>JÖNKÖPINGS LÄN</t>
        </is>
      </c>
      <c r="G6" t="inlineStr">
        <is>
          <t>MULLSJÖ</t>
        </is>
      </c>
      <c r="I6" t="n">
        <v>6</v>
      </c>
      <c r="J6" t="n">
        <v>2</v>
      </c>
      <c r="K6" t="n">
        <v>3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3</v>
      </c>
      <c r="R6" t="n">
        <v>2</v>
      </c>
      <c r="S6" t="n">
        <v>6</v>
      </c>
      <c r="T6" t="n">
        <v>27</v>
      </c>
      <c r="U6" t="n">
        <v>26</v>
      </c>
      <c r="V6" s="2" t="inlineStr">
        <is>
          <t>Knärot
Sandödla
Brunpudrad nållav
Blodticka
Gulnål
Kornig nållav</t>
        </is>
      </c>
      <c r="W6">
        <f>HYPERLINK("https://klasma.github.io/Logging_0642/artfynd/A 13663-2023 artfynd.xlsx", "A 13663-2023")</f>
        <v/>
      </c>
      <c r="X6">
        <f>HYPERLINK("https://klasma.github.io/Logging_0642/kartor/A 13663-2023 karta.png", "A 13663-2023")</f>
        <v/>
      </c>
      <c r="Y6">
        <f>HYPERLINK("https://klasma.github.io/Logging_0642/kartor_geotiff/A 13663-2023 georefererad karta.tif", "A 13663-2023")</f>
        <v/>
      </c>
      <c r="Z6">
        <f>HYPERLINK("https://klasma.github.io/Logging_0642/knärot/A 13663-2023 karta knärot.png", "A 13663-2023")</f>
        <v/>
      </c>
      <c r="AA6">
        <f>HYPERLINK("https://klasma.github.io/Logging_0642/klagomål/A 13663-2023 FSC-klagomål.docx", "A 13663-2023")</f>
        <v/>
      </c>
      <c r="AB6">
        <f>HYPERLINK("https://klasma.github.io/Logging_0642/klagomålsmail/A 13663-2023 FSC-klagomål mail.docx", "A 13663-2023")</f>
        <v/>
      </c>
      <c r="AC6">
        <f>HYPERLINK("https://klasma.github.io/Logging_0642/tillsyn/A 13663-2023 tillsynsbegäran.docx", "A 13663-2023")</f>
        <v/>
      </c>
      <c r="AD6">
        <f>HYPERLINK("https://klasma.github.io/Logging_0642/tillsynsmail/A 13663-2023 tillsynsbegäran mail.docx", "A 13663-2023")</f>
        <v/>
      </c>
    </row>
    <row r="7" ht="15" customHeight="1">
      <c r="A7" t="inlineStr">
        <is>
          <t>S 2938-2023</t>
        </is>
      </c>
      <c r="B7" t="inlineStr">
        <is>
          <t>samrådsanmälan</t>
        </is>
      </c>
      <c r="C7" t="inlineStr">
        <is>
          <t>Askåterföring</t>
        </is>
      </c>
      <c r="D7" s="1" t="n">
        <v>45173</v>
      </c>
      <c r="E7" s="1" t="n">
        <v>46313</v>
      </c>
      <c r="F7" t="inlineStr">
        <is>
          <t>JÖNKÖPINGS LÄN</t>
        </is>
      </c>
      <c r="G7" t="inlineStr">
        <is>
          <t>MULLSJÖ</t>
        </is>
      </c>
      <c r="H7" t="inlineStr">
        <is>
          <t>Kyrkan</t>
        </is>
      </c>
      <c r="I7" t="n">
        <v>68.2</v>
      </c>
      <c r="J7" t="n">
        <v>3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4</v>
      </c>
      <c r="T7" t="n">
        <v>4</v>
      </c>
      <c r="U7" t="n">
        <v>3</v>
      </c>
      <c r="V7" s="2" t="inlineStr">
        <is>
          <t>Motaggsvamp
Talltita
Spillkråka
Grönsiska</t>
        </is>
      </c>
      <c r="W7">
        <f>HYPERLINK("https://klasma.github.io/Logging_0642/artfynd/S 2938-2023 artfynd.xlsx", "S 2938-2023")</f>
        <v/>
      </c>
      <c r="X7">
        <f>HYPERLINK("https://klasma.github.io/Logging_0642/kartor/S 2938-2023 karta.png", "S 2938-2023")</f>
        <v/>
      </c>
      <c r="Y7">
        <f>HYPERLINK("https://klasma.github.io/Logging_0642/kartor_geotiff/S 2938-2023 georefererad karta.tif", "S 2938-2023")</f>
        <v/>
      </c>
      <c r="AA7">
        <f>HYPERLINK("https://klasma.github.io/Logging_0642/klagomål/S 2938-2023 FSC-klagomål.docx", "S 2938-2023")</f>
        <v/>
      </c>
      <c r="AB7">
        <f>HYPERLINK("https://klasma.github.io/Logging_0642/klagomålsmail/S 2938-2023 FSC-klagomål mail.docx", "S 2938-2023")</f>
        <v/>
      </c>
      <c r="AC7">
        <f>HYPERLINK("https://klasma.github.io/Logging_0642/tillsyn/S 2938-2023 tillsynsbegäran.docx", "S 2938-2023")</f>
        <v/>
      </c>
      <c r="AD7">
        <f>HYPERLINK("https://klasma.github.io/Logging_0642/tillsynsmail/S 2938-2023 tillsynsbegäran mail.docx", "S 2938-2023")</f>
        <v/>
      </c>
      <c r="AE7">
        <f>HYPERLINK("https://klasma.github.io/Logging_0642/fåglar/S 2938-2023 prioriterade fågelarter.docx", "S 2938-2023")</f>
        <v/>
      </c>
    </row>
    <row r="8" ht="15" customHeight="1">
      <c r="A8" t="inlineStr">
        <is>
          <t>A 45507-2024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45578</v>
      </c>
      <c r="E8" s="1" t="n">
        <v>46313</v>
      </c>
      <c r="F8" t="inlineStr">
        <is>
          <t>JÖNKÖPINGS LÄN</t>
        </is>
      </c>
      <c r="G8" t="inlineStr">
        <is>
          <t>MULLSJÖ</t>
        </is>
      </c>
      <c r="I8" t="n">
        <v>1.7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2</v>
      </c>
      <c r="R8" t="n">
        <v>2</v>
      </c>
      <c r="S8" t="n">
        <v>3</v>
      </c>
      <c r="T8" t="n">
        <v>4</v>
      </c>
      <c r="U8" t="n">
        <v>0</v>
      </c>
      <c r="V8" s="2" t="inlineStr">
        <is>
          <t>Ask
Knärot
Lönnlav</t>
        </is>
      </c>
      <c r="W8">
        <f>HYPERLINK("https://klasma.github.io/Logging_0642/artfynd/A 45507-2024 artfynd.xlsx", "A 45507-2024")</f>
        <v/>
      </c>
      <c r="X8">
        <f>HYPERLINK("https://klasma.github.io/Logging_0642/kartor/A 45507-2024 karta.png", "A 45507-2024")</f>
        <v/>
      </c>
      <c r="Y8">
        <f>HYPERLINK("https://klasma.github.io/Logging_0642/kartor_geotiff/A 45507-2024 georefererad karta.tif", "A 45507-2024")</f>
        <v/>
      </c>
      <c r="Z8">
        <f>HYPERLINK("https://klasma.github.io/Logging_0642/knärot/A 45507-2024 karta knärot.png", "A 45507-2024")</f>
        <v/>
      </c>
      <c r="AA8">
        <f>HYPERLINK("https://klasma.github.io/Logging_0642/klagomål/A 45507-2024 FSC-klagomål.docx", "A 45507-2024")</f>
        <v/>
      </c>
      <c r="AB8">
        <f>HYPERLINK("https://klasma.github.io/Logging_0642/klagomålsmail/A 45507-2024 FSC-klagomål mail.docx", "A 45507-2024")</f>
        <v/>
      </c>
      <c r="AC8">
        <f>HYPERLINK("https://klasma.github.io/Logging_0642/tillsyn/A 45507-2024 tillsynsbegäran.docx", "A 45507-2024")</f>
        <v/>
      </c>
      <c r="AD8">
        <f>HYPERLINK("https://klasma.github.io/Logging_0642/tillsynsmail/A 45507-2024 tillsynsbegäran mail.docx", "A 45507-2024")</f>
        <v/>
      </c>
    </row>
    <row r="9" ht="15" customHeight="1">
      <c r="A9" t="inlineStr">
        <is>
          <t>A 7821-2024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45349</v>
      </c>
      <c r="E9" s="1" t="n">
        <v>46313</v>
      </c>
      <c r="F9" t="inlineStr">
        <is>
          <t>JÖNKÖPINGS LÄN</t>
        </is>
      </c>
      <c r="G9" t="inlineStr">
        <is>
          <t>MULLSJÖ</t>
        </is>
      </c>
      <c r="I9" t="n">
        <v>8.199999999999999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3</v>
      </c>
      <c r="T9" t="n">
        <v>9</v>
      </c>
      <c r="U9" t="n">
        <v>7</v>
      </c>
      <c r="V9" s="2" t="inlineStr">
        <is>
          <t>Jungfrulin
Slåtterfibbla
Svinrot</t>
        </is>
      </c>
      <c r="W9">
        <f>HYPERLINK("https://klasma.github.io/Logging_0642/artfynd/A 7821-2024 artfynd.xlsx", "A 7821-2024")</f>
        <v/>
      </c>
      <c r="X9">
        <f>HYPERLINK("https://klasma.github.io/Logging_0642/kartor/A 7821-2024 karta.png", "A 7821-2024")</f>
        <v/>
      </c>
      <c r="Y9">
        <f>HYPERLINK("https://klasma.github.io/Logging_0642/kartor_geotiff/A 7821-2024 georefererad karta.tif", "A 7821-2024")</f>
        <v/>
      </c>
      <c r="AA9">
        <f>HYPERLINK("https://klasma.github.io/Logging_0642/klagomål/A 7821-2024 FSC-klagomål.docx", "A 7821-2024")</f>
        <v/>
      </c>
      <c r="AB9">
        <f>HYPERLINK("https://klasma.github.io/Logging_0642/klagomålsmail/A 7821-2024 FSC-klagomål mail.docx", "A 7821-2024")</f>
        <v/>
      </c>
      <c r="AC9">
        <f>HYPERLINK("https://klasma.github.io/Logging_0642/tillsyn/A 7821-2024 tillsynsbegäran.docx", "A 7821-2024")</f>
        <v/>
      </c>
      <c r="AD9">
        <f>HYPERLINK("https://klasma.github.io/Logging_0642/tillsynsmail/A 7821-2024 tillsynsbegäran mail.docx", "A 7821-2024")</f>
        <v/>
      </c>
    </row>
    <row r="10" ht="15" customHeight="1">
      <c r="A10" t="inlineStr">
        <is>
          <t>A 37686-2026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46279</v>
      </c>
      <c r="E10" s="1" t="n">
        <v>46313</v>
      </c>
      <c r="F10" t="inlineStr">
        <is>
          <t>JÖNKÖPINGS LÄN</t>
        </is>
      </c>
      <c r="G10" t="inlineStr">
        <is>
          <t>MULLSJÖ</t>
        </is>
      </c>
      <c r="I10" t="n">
        <v>5.1</v>
      </c>
      <c r="J10" t="n">
        <v>0</v>
      </c>
      <c r="K10" t="n">
        <v>0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3</v>
      </c>
      <c r="R10" t="n">
        <v>1</v>
      </c>
      <c r="S10" t="n">
        <v>3</v>
      </c>
      <c r="T10" t="n">
        <v>3</v>
      </c>
      <c r="U10" t="n">
        <v>0</v>
      </c>
      <c r="V10" s="2" t="inlineStr">
        <is>
          <t>Ask
Sommarfibbla
Svinrot</t>
        </is>
      </c>
      <c r="W10">
        <f>HYPERLINK("https://klasma.github.io/Logging_0642/artfynd/A 37686-2026 artfynd.xlsx", "A 37686-2026")</f>
        <v/>
      </c>
      <c r="X10">
        <f>HYPERLINK("https://klasma.github.io/Logging_0642/kartor/A 37686-2026 karta.png", "A 37686-2026")</f>
        <v/>
      </c>
      <c r="Y10">
        <f>HYPERLINK("https://klasma.github.io/Logging_0642/kartor_geotiff/A 37686-2026 georefererad karta.tif", "A 37686-2026")</f>
        <v/>
      </c>
      <c r="AA10">
        <f>HYPERLINK("https://klasma.github.io/Logging_0642/klagomål/A 37686-2026 FSC-klagomål.docx", "A 37686-2026")</f>
        <v/>
      </c>
      <c r="AB10">
        <f>HYPERLINK("https://klasma.github.io/Logging_0642/klagomålsmail/A 37686-2026 FSC-klagomål mail.docx", "A 37686-2026")</f>
        <v/>
      </c>
      <c r="AC10">
        <f>HYPERLINK("https://klasma.github.io/Logging_0642/tillsyn/A 37686-2026 tillsynsbegäran.docx", "A 37686-2026")</f>
        <v/>
      </c>
      <c r="AD10">
        <f>HYPERLINK("https://klasma.github.io/Logging_0642/tillsynsmail/A 37686-2026 tillsynsbegäran mail.docx", "A 37686-2026")</f>
        <v/>
      </c>
    </row>
    <row r="11" ht="15" customHeight="1">
      <c r="A11" t="inlineStr">
        <is>
          <t>A 35828-2024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45532</v>
      </c>
      <c r="E11" s="1" t="n">
        <v>46313</v>
      </c>
      <c r="F11" t="inlineStr">
        <is>
          <t>JÖNKÖPINGS LÄN</t>
        </is>
      </c>
      <c r="G11" t="inlineStr">
        <is>
          <t>MULLSJÖ</t>
        </is>
      </c>
      <c r="I11" t="n">
        <v>6.7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3</v>
      </c>
      <c r="R11" t="n">
        <v>1</v>
      </c>
      <c r="S11" t="n">
        <v>3</v>
      </c>
      <c r="T11" t="n">
        <v>3</v>
      </c>
      <c r="U11" t="n">
        <v>0</v>
      </c>
      <c r="V11" s="2" t="inlineStr">
        <is>
          <t>Ask
Sommarfibbla
Svinrot</t>
        </is>
      </c>
      <c r="W11">
        <f>HYPERLINK("https://klasma.github.io/Logging_0642/artfynd/A 35828-2024 artfynd.xlsx", "A 35828-2024")</f>
        <v/>
      </c>
      <c r="X11">
        <f>HYPERLINK("https://klasma.github.io/Logging_0642/kartor/A 35828-2024 karta.png", "A 35828-2024")</f>
        <v/>
      </c>
      <c r="Y11">
        <f>HYPERLINK("https://klasma.github.io/Logging_0642/kartor_geotiff/A 35828-2024 georefererad karta.tif", "A 35828-2024")</f>
        <v/>
      </c>
      <c r="AA11">
        <f>HYPERLINK("https://klasma.github.io/Logging_0642/klagomål/A 35828-2024 FSC-klagomål.docx", "A 35828-2024")</f>
        <v/>
      </c>
      <c r="AB11">
        <f>HYPERLINK("https://klasma.github.io/Logging_0642/klagomålsmail/A 35828-2024 FSC-klagomål mail.docx", "A 35828-2024")</f>
        <v/>
      </c>
      <c r="AC11">
        <f>HYPERLINK("https://klasma.github.io/Logging_0642/tillsyn/A 35828-2024 tillsynsbegäran.docx", "A 35828-2024")</f>
        <v/>
      </c>
      <c r="AD11">
        <f>HYPERLINK("https://klasma.github.io/Logging_0642/tillsynsmail/A 35828-2024 tillsynsbegäran mail.docx", "A 35828-2024")</f>
        <v/>
      </c>
    </row>
    <row r="12" ht="15" customHeight="1">
      <c r="A12" t="inlineStr">
        <is>
          <t>A 7817-2024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45349</v>
      </c>
      <c r="E12" s="1" t="n">
        <v>46313</v>
      </c>
      <c r="F12" t="inlineStr">
        <is>
          <t>JÖNKÖPINGS LÄN</t>
        </is>
      </c>
      <c r="G12" t="inlineStr">
        <is>
          <t>MULLSJÖ</t>
        </is>
      </c>
      <c r="I12" t="n">
        <v>8.9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2</v>
      </c>
      <c r="R12" t="n">
        <v>1</v>
      </c>
      <c r="S12" t="n">
        <v>2</v>
      </c>
      <c r="T12" t="n">
        <v>2</v>
      </c>
      <c r="U12" t="n">
        <v>0</v>
      </c>
      <c r="V12" s="2" t="inlineStr">
        <is>
          <t>Ask
Huskvarnafibbla</t>
        </is>
      </c>
      <c r="W12">
        <f>HYPERLINK("https://klasma.github.io/Logging_0642/artfynd/A 7817-2024 artfynd.xlsx", "A 7817-2024")</f>
        <v/>
      </c>
      <c r="X12">
        <f>HYPERLINK("https://klasma.github.io/Logging_0642/kartor/A 7817-2024 karta.png", "A 7817-2024")</f>
        <v/>
      </c>
      <c r="Y12">
        <f>HYPERLINK("https://klasma.github.io/Logging_0642/kartor_geotiff/A 7817-2024 georefererad karta.tif", "A 7817-2024")</f>
        <v/>
      </c>
      <c r="AA12">
        <f>HYPERLINK("https://klasma.github.io/Logging_0642/klagomål/A 7817-2024 FSC-klagomål.docx", "A 7817-2024")</f>
        <v/>
      </c>
      <c r="AB12">
        <f>HYPERLINK("https://klasma.github.io/Logging_0642/klagomålsmail/A 7817-2024 FSC-klagomål mail.docx", "A 7817-2024")</f>
        <v/>
      </c>
      <c r="AC12">
        <f>HYPERLINK("https://klasma.github.io/Logging_0642/tillsyn/A 7817-2024 tillsynsbegäran.docx", "A 7817-2024")</f>
        <v/>
      </c>
      <c r="AD12">
        <f>HYPERLINK("https://klasma.github.io/Logging_0642/tillsynsmail/A 7817-2024 tillsynsbegäran mail.docx", "A 7817-2024")</f>
        <v/>
      </c>
    </row>
    <row r="13" ht="15" customHeight="1">
      <c r="A13" t="inlineStr">
        <is>
          <t>A 7365-2023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44971</v>
      </c>
      <c r="E13" s="1" t="n">
        <v>46313</v>
      </c>
      <c r="F13" t="inlineStr">
        <is>
          <t>JÖNKÖPINGS LÄN</t>
        </is>
      </c>
      <c r="G13" t="inlineStr">
        <is>
          <t>MULLSJÖ</t>
        </is>
      </c>
      <c r="I13" t="n">
        <v>1.6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s="2" t="inlineStr">
        <is>
          <t>Fläcknycklar
Grönvit nattviol</t>
        </is>
      </c>
      <c r="W13">
        <f>HYPERLINK("https://klasma.github.io/Logging_0642/artfynd/A 7365-2023 artfynd.xlsx", "A 7365-2023")</f>
        <v/>
      </c>
      <c r="X13">
        <f>HYPERLINK("https://klasma.github.io/Logging_0642/kartor/A 7365-2023 karta.png", "A 7365-2023")</f>
        <v/>
      </c>
      <c r="Y13">
        <f>HYPERLINK("https://klasma.github.io/Logging_0642/kartor_geotiff/A 7365-2023 georefererad karta.tif", "A 7365-2023")</f>
        <v/>
      </c>
      <c r="AA13">
        <f>HYPERLINK("https://klasma.github.io/Logging_0642/klagomål/A 7365-2023 FSC-klagomål.docx", "A 7365-2023")</f>
        <v/>
      </c>
      <c r="AB13">
        <f>HYPERLINK("https://klasma.github.io/Logging_0642/klagomålsmail/A 7365-2023 FSC-klagomål mail.docx", "A 7365-2023")</f>
        <v/>
      </c>
      <c r="AC13">
        <f>HYPERLINK("https://klasma.github.io/Logging_0642/tillsyn/A 7365-2023 tillsynsbegäran.docx", "A 7365-2023")</f>
        <v/>
      </c>
      <c r="AD13">
        <f>HYPERLINK("https://klasma.github.io/Logging_0642/tillsynsmail/A 7365-2023 tillsynsbegäran mail.docx", "A 7365-2023")</f>
        <v/>
      </c>
    </row>
    <row r="14" ht="15" customHeight="1">
      <c r="A14" t="inlineStr">
        <is>
          <t>S 3854-2022</t>
        </is>
      </c>
      <c r="B14" t="inlineStr">
        <is>
          <t>samrådsanmälan</t>
        </is>
      </c>
      <c r="C14" t="inlineStr">
        <is>
          <t>Askåterföring</t>
        </is>
      </c>
      <c r="D14" s="1" t="n">
        <v>44747</v>
      </c>
      <c r="E14" s="1" t="n">
        <v>46313</v>
      </c>
      <c r="F14" t="inlineStr">
        <is>
          <t>JÖNKÖPINGS LÄN</t>
        </is>
      </c>
      <c r="G14" t="inlineStr">
        <is>
          <t>MULLSJÖ</t>
        </is>
      </c>
      <c r="I14" t="n">
        <v>45.6</v>
      </c>
      <c r="J14" t="n">
        <v>2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2</v>
      </c>
      <c r="T14" t="n">
        <v>2</v>
      </c>
      <c r="U14" t="n">
        <v>1</v>
      </c>
      <c r="V14" s="2" t="inlineStr">
        <is>
          <t>Pärluggla
Orre</t>
        </is>
      </c>
      <c r="W14">
        <f>HYPERLINK("https://klasma.github.io/Logging_0642/artfynd/S 3854-2022 artfynd.xlsx", "S 3854-2022")</f>
        <v/>
      </c>
      <c r="X14">
        <f>HYPERLINK("https://klasma.github.io/Logging_0642/kartor/S 3854-2022 karta.png", "S 3854-2022")</f>
        <v/>
      </c>
      <c r="Y14">
        <f>HYPERLINK("https://klasma.github.io/Logging_0642/kartor_geotiff/S 3854-2022 georefererad karta.tif", "S 3854-2022")</f>
        <v/>
      </c>
      <c r="AA14">
        <f>HYPERLINK("https://klasma.github.io/Logging_0642/klagomål/S 3854-2022 FSC-klagomål.docx", "S 3854-2022")</f>
        <v/>
      </c>
      <c r="AB14">
        <f>HYPERLINK("https://klasma.github.io/Logging_0642/klagomålsmail/S 3854-2022 FSC-klagomål mail.docx", "S 3854-2022")</f>
        <v/>
      </c>
      <c r="AC14">
        <f>HYPERLINK("https://klasma.github.io/Logging_0642/tillsyn/S 3854-2022 tillsynsbegäran.docx", "S 3854-2022")</f>
        <v/>
      </c>
      <c r="AD14">
        <f>HYPERLINK("https://klasma.github.io/Logging_0642/tillsynsmail/S 3854-2022 tillsynsbegäran mail.docx", "S 3854-2022")</f>
        <v/>
      </c>
      <c r="AE14">
        <f>HYPERLINK("https://klasma.github.io/Logging_0642/fåglar/S 3854-2022 prioriterade fågelarter.docx", "S 3854-2022")</f>
        <v/>
      </c>
    </row>
    <row r="15" ht="15" customHeight="1">
      <c r="A15" t="inlineStr">
        <is>
          <t>A 47692-2022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44854</v>
      </c>
      <c r="E15" s="1" t="n">
        <v>46313</v>
      </c>
      <c r="F15" t="inlineStr">
        <is>
          <t>JÖNKÖPINGS LÄN</t>
        </is>
      </c>
      <c r="G15" t="inlineStr">
        <is>
          <t>MULLSJÖ</t>
        </is>
      </c>
      <c r="I15" t="n">
        <v>1.1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Orre</t>
        </is>
      </c>
      <c r="W15">
        <f>HYPERLINK("https://klasma.github.io/Logging_0642/artfynd/A 47692-2022 artfynd.xlsx", "A 47692-2022")</f>
        <v/>
      </c>
      <c r="X15">
        <f>HYPERLINK("https://klasma.github.io/Logging_0642/kartor/A 47692-2022 karta.png", "A 47692-2022")</f>
        <v/>
      </c>
      <c r="Y15">
        <f>HYPERLINK("https://klasma.github.io/Logging_0642/kartor_geotiff/A 47692-2022 georefererad karta.tif", "A 47692-2022")</f>
        <v/>
      </c>
      <c r="AA15">
        <f>HYPERLINK("https://klasma.github.io/Logging_0642/klagomål/A 47692-2022 FSC-klagomål.docx", "A 47692-2022")</f>
        <v/>
      </c>
      <c r="AB15">
        <f>HYPERLINK("https://klasma.github.io/Logging_0642/klagomålsmail/A 47692-2022 FSC-klagomål mail.docx", "A 47692-2022")</f>
        <v/>
      </c>
      <c r="AC15">
        <f>HYPERLINK("https://klasma.github.io/Logging_0642/tillsyn/A 47692-2022 tillsynsbegäran.docx", "A 47692-2022")</f>
        <v/>
      </c>
      <c r="AD15">
        <f>HYPERLINK("https://klasma.github.io/Logging_0642/tillsynsmail/A 47692-2022 tillsynsbegäran mail.docx", "A 47692-2022")</f>
        <v/>
      </c>
      <c r="AE15">
        <f>HYPERLINK("https://klasma.github.io/Logging_0642/fåglar/A 47692-2022 prioriterade fågelarter.docx", "A 47692-2022")</f>
        <v/>
      </c>
    </row>
    <row r="16" ht="15" customHeight="1">
      <c r="A16" t="inlineStr">
        <is>
          <t>A 14230-2024</t>
        </is>
      </c>
      <c r="B16" t="inlineStr">
        <is>
          <t>avverkningsanmälan</t>
        </is>
      </c>
      <c r="C16" t="inlineStr">
        <is>
          <t>Avverkning för annat ändamål</t>
        </is>
      </c>
      <c r="D16" s="1" t="n">
        <v>45393</v>
      </c>
      <c r="E16" s="1" t="n">
        <v>46313</v>
      </c>
      <c r="F16" t="inlineStr">
        <is>
          <t>JÖNKÖPINGS LÄN</t>
        </is>
      </c>
      <c r="G16" t="inlineStr">
        <is>
          <t>MULLSJÖ</t>
        </is>
      </c>
      <c r="I16" t="n">
        <v>2.9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Guldlockmossa</t>
        </is>
      </c>
      <c r="W16">
        <f>HYPERLINK("https://klasma.github.io/Logging_0642/artfynd/A 14230-2024 artfynd.xlsx", "A 14230-2024")</f>
        <v/>
      </c>
      <c r="X16">
        <f>HYPERLINK("https://klasma.github.io/Logging_0642/kartor/A 14230-2024 karta.png", "A 14230-2024")</f>
        <v/>
      </c>
      <c r="Y16">
        <f>HYPERLINK("https://klasma.github.io/Logging_0642/kartor_geotiff/A 14230-2024 georefererad karta.tif", "A 14230-2024")</f>
        <v/>
      </c>
      <c r="AA16">
        <f>HYPERLINK("https://klasma.github.io/Logging_0642/klagomål/A 14230-2024 FSC-klagomål.docx", "A 14230-2024")</f>
        <v/>
      </c>
      <c r="AB16">
        <f>HYPERLINK("https://klasma.github.io/Logging_0642/klagomålsmail/A 14230-2024 FSC-klagomål mail.docx", "A 14230-2024")</f>
        <v/>
      </c>
      <c r="AC16">
        <f>HYPERLINK("https://klasma.github.io/Logging_0642/tillsyn/A 14230-2024 tillsynsbegäran.docx", "A 14230-2024")</f>
        <v/>
      </c>
      <c r="AD16">
        <f>HYPERLINK("https://klasma.github.io/Logging_0642/tillsynsmail/A 14230-2024 tillsynsbegäran mail.docx", "A 14230-2024")</f>
        <v/>
      </c>
    </row>
    <row r="17" ht="15" customHeight="1">
      <c r="A17" t="inlineStr">
        <is>
          <t>A 7823-2024</t>
        </is>
      </c>
      <c r="B17" t="inlineStr">
        <is>
          <t>avverkningsanmälan</t>
        </is>
      </c>
      <c r="C17" t="inlineStr">
        <is>
          <t>Avverkning för annat ändamål</t>
        </is>
      </c>
      <c r="D17" s="1" t="n">
        <v>45349</v>
      </c>
      <c r="E17" s="1" t="n">
        <v>46313</v>
      </c>
      <c r="F17" t="inlineStr">
        <is>
          <t>JÖNKÖPINGS LÄN</t>
        </is>
      </c>
      <c r="G17" t="inlineStr">
        <is>
          <t>MULLSJÖ</t>
        </is>
      </c>
      <c r="I17" t="n">
        <v>3.5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Lunglav</t>
        </is>
      </c>
      <c r="W17">
        <f>HYPERLINK("https://klasma.github.io/Logging_0642/artfynd/A 7823-2024 artfynd.xlsx", "A 7823-2024")</f>
        <v/>
      </c>
      <c r="X17">
        <f>HYPERLINK("https://klasma.github.io/Logging_0642/kartor/A 7823-2024 karta.png", "A 7823-2024")</f>
        <v/>
      </c>
      <c r="Y17">
        <f>HYPERLINK("https://klasma.github.io/Logging_0642/kartor_geotiff/A 7823-2024 georefererad karta.tif", "A 7823-2024")</f>
        <v/>
      </c>
      <c r="AA17">
        <f>HYPERLINK("https://klasma.github.io/Logging_0642/klagomål/A 7823-2024 FSC-klagomål.docx", "A 7823-2024")</f>
        <v/>
      </c>
      <c r="AB17">
        <f>HYPERLINK("https://klasma.github.io/Logging_0642/klagomålsmail/A 7823-2024 FSC-klagomål mail.docx", "A 7823-2024")</f>
        <v/>
      </c>
      <c r="AC17">
        <f>HYPERLINK("https://klasma.github.io/Logging_0642/tillsyn/A 7823-2024 tillsynsbegäran.docx", "A 7823-2024")</f>
        <v/>
      </c>
      <c r="AD17">
        <f>HYPERLINK("https://klasma.github.io/Logging_0642/tillsynsmail/A 7823-2024 tillsynsbegäran mail.docx", "A 7823-2024")</f>
        <v/>
      </c>
    </row>
    <row r="18" ht="15" customHeight="1">
      <c r="A18" t="inlineStr">
        <is>
          <t>A 55693-2025</t>
        </is>
      </c>
      <c r="B18" t="inlineStr">
        <is>
          <t>avverkningsanmälan</t>
        </is>
      </c>
      <c r="C18" t="inlineStr">
        <is>
          <t>Avverkning för att bevara och utveckla /försöksver</t>
        </is>
      </c>
      <c r="D18" s="1" t="n">
        <v>45972</v>
      </c>
      <c r="E18" s="1" t="n">
        <v>46313</v>
      </c>
      <c r="F18" t="inlineStr">
        <is>
          <t>JÖNKÖPINGS LÄN</t>
        </is>
      </c>
      <c r="G18" t="inlineStr">
        <is>
          <t>MULLSJÖ</t>
        </is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2</v>
      </c>
      <c r="U18" t="n">
        <v>0</v>
      </c>
      <c r="V18" s="2" t="inlineStr">
        <is>
          <t>Ask</t>
        </is>
      </c>
      <c r="W18">
        <f>HYPERLINK("https://klasma.github.io/Logging_0642/artfynd/A 55693-2025 artfynd.xlsx", "A 55693-2025")</f>
        <v/>
      </c>
      <c r="X18">
        <f>HYPERLINK("https://klasma.github.io/Logging_0642/kartor/A 55693-2025 karta.png", "A 55693-2025")</f>
        <v/>
      </c>
      <c r="Y18">
        <f>HYPERLINK("https://klasma.github.io/Logging_0642/kartor_geotiff/A 55693-2025 georefererad karta.tif", "A 55693-2025")</f>
        <v/>
      </c>
      <c r="AA18">
        <f>HYPERLINK("https://klasma.github.io/Logging_0642/klagomål/A 55693-2025 FSC-klagomål.docx", "A 55693-2025")</f>
        <v/>
      </c>
      <c r="AB18">
        <f>HYPERLINK("https://klasma.github.io/Logging_0642/klagomålsmail/A 55693-2025 FSC-klagomål mail.docx", "A 55693-2025")</f>
        <v/>
      </c>
      <c r="AC18">
        <f>HYPERLINK("https://klasma.github.io/Logging_0642/tillsyn/A 55693-2025 tillsynsbegäran.docx", "A 55693-2025")</f>
        <v/>
      </c>
      <c r="AD18">
        <f>HYPERLINK("https://klasma.github.io/Logging_0642/tillsynsmail/A 55693-2025 tillsynsbegäran mail.docx", "A 55693-2025")</f>
        <v/>
      </c>
    </row>
    <row r="19" ht="15" customHeight="1">
      <c r="A19" t="inlineStr">
        <is>
          <t>A 46006-2022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44846</v>
      </c>
      <c r="E19" s="1" t="n">
        <v>46313</v>
      </c>
      <c r="F19" t="inlineStr">
        <is>
          <t>JÖNKÖPINGS LÄN</t>
        </is>
      </c>
      <c r="G19" t="inlineStr">
        <is>
          <t>MULLSJÖ</t>
        </is>
      </c>
      <c r="I19" t="n">
        <v>3.4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s="2" t="inlineStr">
        <is>
          <t>Igelkott</t>
        </is>
      </c>
      <c r="W19">
        <f>HYPERLINK("https://klasma.github.io/Logging_0642/artfynd/A 46006-2022 artfynd.xlsx", "A 46006-2022")</f>
        <v/>
      </c>
      <c r="X19">
        <f>HYPERLINK("https://klasma.github.io/Logging_0642/kartor/A 46006-2022 karta.png", "A 46006-2022")</f>
        <v/>
      </c>
      <c r="Y19">
        <f>HYPERLINK("https://klasma.github.io/Logging_0642/kartor_geotiff/A 46006-2022 georefererad karta.tif", "A 46006-2022")</f>
        <v/>
      </c>
      <c r="AA19">
        <f>HYPERLINK("https://klasma.github.io/Logging_0642/klagomål/A 46006-2022 FSC-klagomål.docx", "A 46006-2022")</f>
        <v/>
      </c>
      <c r="AB19">
        <f>HYPERLINK("https://klasma.github.io/Logging_0642/klagomålsmail/A 46006-2022 FSC-klagomål mail.docx", "A 46006-2022")</f>
        <v/>
      </c>
      <c r="AC19">
        <f>HYPERLINK("https://klasma.github.io/Logging_0642/tillsyn/A 46006-2022 tillsynsbegäran.docx", "A 46006-2022")</f>
        <v/>
      </c>
      <c r="AD19">
        <f>HYPERLINK("https://klasma.github.io/Logging_0642/tillsynsmail/A 46006-2022 tillsynsbegäran mail.docx", "A 46006-2022")</f>
        <v/>
      </c>
    </row>
    <row r="20" ht="15" customHeight="1">
      <c r="A20" t="inlineStr">
        <is>
          <t>A 1221-2026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46031</v>
      </c>
      <c r="E20" s="1" t="n">
        <v>46313</v>
      </c>
      <c r="F20" t="inlineStr">
        <is>
          <t>JÖNKÖPINGS LÄN</t>
        </is>
      </c>
      <c r="G20" t="inlineStr">
        <is>
          <t>MULLSJÖ</t>
        </is>
      </c>
      <c r="H20" t="inlineStr">
        <is>
          <t>Kommuner</t>
        </is>
      </c>
      <c r="I20" t="n">
        <v>2.2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3</v>
      </c>
      <c r="U20" t="n">
        <v>1</v>
      </c>
      <c r="V20" s="2" t="inlineStr">
        <is>
          <t>Slåtterfibbla</t>
        </is>
      </c>
      <c r="W20">
        <f>HYPERLINK("https://klasma.github.io/Logging_0642/artfynd/A 1221-2026 artfynd.xlsx", "A 1221-2026")</f>
        <v/>
      </c>
      <c r="X20">
        <f>HYPERLINK("https://klasma.github.io/Logging_0642/kartor/A 1221-2026 karta.png", "A 1221-2026")</f>
        <v/>
      </c>
      <c r="Y20">
        <f>HYPERLINK("https://klasma.github.io/Logging_0642/kartor_geotiff/A 1221-2026 georefererad karta.tif", "A 1221-2026")</f>
        <v/>
      </c>
      <c r="AA20">
        <f>HYPERLINK("https://klasma.github.io/Logging_0642/klagomål/A 1221-2026 FSC-klagomål.docx", "A 1221-2026")</f>
        <v/>
      </c>
      <c r="AB20">
        <f>HYPERLINK("https://klasma.github.io/Logging_0642/klagomålsmail/A 1221-2026 FSC-klagomål mail.docx", "A 1221-2026")</f>
        <v/>
      </c>
      <c r="AC20">
        <f>HYPERLINK("https://klasma.github.io/Logging_0642/tillsyn/A 1221-2026 tillsynsbegäran.docx", "A 1221-2026")</f>
        <v/>
      </c>
      <c r="AD20">
        <f>HYPERLINK("https://klasma.github.io/Logging_0642/tillsynsmail/A 1221-2026 tillsynsbegäran mail.docx", "A 1221-2026")</f>
        <v/>
      </c>
    </row>
    <row r="21" ht="15" customHeight="1">
      <c r="A21" t="inlineStr">
        <is>
          <t>A 56244-2022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44890</v>
      </c>
      <c r="E21" s="1" t="n">
        <v>46313</v>
      </c>
      <c r="F21" t="inlineStr">
        <is>
          <t>JÖNKÖPINGS LÄN</t>
        </is>
      </c>
      <c r="G21" t="inlineStr">
        <is>
          <t>MULLSJÖ</t>
        </is>
      </c>
      <c r="H21" t="inlineStr">
        <is>
          <t>Kyrkan</t>
        </is>
      </c>
      <c r="I21" t="n">
        <v>6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Revlummer</t>
        </is>
      </c>
      <c r="W21">
        <f>HYPERLINK("https://klasma.github.io/Logging_0642/artfynd/A 56244-2022 artfynd.xlsx", "A 56244-2022")</f>
        <v/>
      </c>
      <c r="X21">
        <f>HYPERLINK("https://klasma.github.io/Logging_0642/kartor/A 56244-2022 karta.png", "A 56244-2022")</f>
        <v/>
      </c>
      <c r="Y21">
        <f>HYPERLINK("https://klasma.github.io/Logging_0642/kartor_geotiff/A 56244-2022 georefererad karta.tif", "A 56244-2022")</f>
        <v/>
      </c>
      <c r="AA21">
        <f>HYPERLINK("https://klasma.github.io/Logging_0642/klagomål/A 56244-2022 FSC-klagomål.docx", "A 56244-2022")</f>
        <v/>
      </c>
      <c r="AB21">
        <f>HYPERLINK("https://klasma.github.io/Logging_0642/klagomålsmail/A 56244-2022 FSC-klagomål mail.docx", "A 56244-2022")</f>
        <v/>
      </c>
      <c r="AC21">
        <f>HYPERLINK("https://klasma.github.io/Logging_0642/tillsyn/A 56244-2022 tillsynsbegäran.docx", "A 56244-2022")</f>
        <v/>
      </c>
      <c r="AD21">
        <f>HYPERLINK("https://klasma.github.io/Logging_0642/tillsynsmail/A 56244-2022 tillsynsbegäran mail.docx", "A 56244-2022")</f>
        <v/>
      </c>
    </row>
    <row r="22" ht="15" customHeight="1">
      <c r="A22" t="inlineStr">
        <is>
          <t>A 62232-2022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44922</v>
      </c>
      <c r="E22" s="1" t="n">
        <v>46313</v>
      </c>
      <c r="F22" t="inlineStr">
        <is>
          <t>JÖNKÖPINGS LÄN</t>
        </is>
      </c>
      <c r="G22" t="inlineStr">
        <is>
          <t>MULLSJÖ</t>
        </is>
      </c>
      <c r="I22" t="n">
        <v>4.1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s="2" t="inlineStr">
        <is>
          <t>Ask</t>
        </is>
      </c>
      <c r="W22">
        <f>HYPERLINK("https://klasma.github.io/Logging_0642/artfynd/A 62232-2022 artfynd.xlsx", "A 62232-2022")</f>
        <v/>
      </c>
      <c r="X22">
        <f>HYPERLINK("https://klasma.github.io/Logging_0642/kartor/A 62232-2022 karta.png", "A 62232-2022")</f>
        <v/>
      </c>
      <c r="Y22">
        <f>HYPERLINK("https://klasma.github.io/Logging_0642/kartor_geotiff/A 62232-2022 georefererad karta.tif", "A 62232-2022")</f>
        <v/>
      </c>
      <c r="AA22">
        <f>HYPERLINK("https://klasma.github.io/Logging_0642/klagomål/A 62232-2022 FSC-klagomål.docx", "A 62232-2022")</f>
        <v/>
      </c>
      <c r="AB22">
        <f>HYPERLINK("https://klasma.github.io/Logging_0642/klagomålsmail/A 62232-2022 FSC-klagomål mail.docx", "A 62232-2022")</f>
        <v/>
      </c>
      <c r="AC22">
        <f>HYPERLINK("https://klasma.github.io/Logging_0642/tillsyn/A 62232-2022 tillsynsbegäran.docx", "A 62232-2022")</f>
        <v/>
      </c>
      <c r="AD22">
        <f>HYPERLINK("https://klasma.github.io/Logging_0642/tillsynsmail/A 62232-2022 tillsynsbegäran mail.docx", "A 62232-2022")</f>
        <v/>
      </c>
    </row>
    <row r="23" ht="15" customHeight="1">
      <c r="A23" t="inlineStr">
        <is>
          <t>A 17825-2026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46122</v>
      </c>
      <c r="E23" s="1" t="n">
        <v>46313</v>
      </c>
      <c r="F23" t="inlineStr">
        <is>
          <t>JÖNKÖPINGS LÄN</t>
        </is>
      </c>
      <c r="G23" t="inlineStr">
        <is>
          <t>MULLSJÖ</t>
        </is>
      </c>
      <c r="I23" t="n">
        <v>0.7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4</v>
      </c>
      <c r="U23" t="n">
        <v>0</v>
      </c>
      <c r="V23" s="2" t="inlineStr">
        <is>
          <t>Fläcknycklar</t>
        </is>
      </c>
      <c r="W23">
        <f>HYPERLINK("https://klasma.github.io/Logging_0642/artfynd/A 17825-2026 artfynd.xlsx", "A 17825-2026")</f>
        <v/>
      </c>
      <c r="X23">
        <f>HYPERLINK("https://klasma.github.io/Logging_0642/kartor/A 17825-2026 karta.png", "A 17825-2026")</f>
        <v/>
      </c>
      <c r="Y23">
        <f>HYPERLINK("https://klasma.github.io/Logging_0642/kartor_geotiff/A 17825-2026 georefererad karta.tif", "A 17825-2026")</f>
        <v/>
      </c>
      <c r="AA23">
        <f>HYPERLINK("https://klasma.github.io/Logging_0642/klagomål/A 17825-2026 FSC-klagomål.docx", "A 17825-2026")</f>
        <v/>
      </c>
      <c r="AB23">
        <f>HYPERLINK("https://klasma.github.io/Logging_0642/klagomålsmail/A 17825-2026 FSC-klagomål mail.docx", "A 17825-2026")</f>
        <v/>
      </c>
      <c r="AC23">
        <f>HYPERLINK("https://klasma.github.io/Logging_0642/tillsyn/A 17825-2026 tillsynsbegäran.docx", "A 17825-2026")</f>
        <v/>
      </c>
      <c r="AD23">
        <f>HYPERLINK("https://klasma.github.io/Logging_0642/tillsynsmail/A 17825-2026 tillsynsbegäran mail.docx", "A 17825-2026")</f>
        <v/>
      </c>
    </row>
    <row r="24" ht="15" customHeight="1">
      <c r="A24" t="inlineStr">
        <is>
          <t>A 57195-2024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45629</v>
      </c>
      <c r="E24" s="1" t="n">
        <v>46313</v>
      </c>
      <c r="F24" t="inlineStr">
        <is>
          <t>JÖNKÖPINGS LÄN</t>
        </is>
      </c>
      <c r="G24" t="inlineStr">
        <is>
          <t>MULLSJÖ</t>
        </is>
      </c>
      <c r="H24" t="inlineStr">
        <is>
          <t>Kommuner</t>
        </is>
      </c>
      <c r="I24" t="n">
        <v>5.3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Älg</t>
        </is>
      </c>
      <c r="W24">
        <f>HYPERLINK("https://klasma.github.io/Logging_0642/artfynd/A 57195-2024 artfynd.xlsx", "A 57195-2024")</f>
        <v/>
      </c>
      <c r="X24">
        <f>HYPERLINK("https://klasma.github.io/Logging_0642/kartor/A 57195-2024 karta.png", "A 57195-2024")</f>
        <v/>
      </c>
      <c r="Y24">
        <f>HYPERLINK("https://klasma.github.io/Logging_0642/kartor_geotiff/A 57195-2024 georefererad karta.tif", "A 57195-2024")</f>
        <v/>
      </c>
      <c r="AA24">
        <f>HYPERLINK("https://klasma.github.io/Logging_0642/klagomål/A 57195-2024 FSC-klagomål.docx", "A 57195-2024")</f>
        <v/>
      </c>
      <c r="AB24">
        <f>HYPERLINK("https://klasma.github.io/Logging_0642/klagomålsmail/A 57195-2024 FSC-klagomål mail.docx", "A 57195-2024")</f>
        <v/>
      </c>
      <c r="AC24">
        <f>HYPERLINK("https://klasma.github.io/Logging_0642/tillsyn/A 57195-2024 tillsynsbegäran.docx", "A 57195-2024")</f>
        <v/>
      </c>
      <c r="AD24">
        <f>HYPERLINK("https://klasma.github.io/Logging_0642/tillsynsmail/A 57195-2024 tillsynsbegäran mail.docx", "A 57195-2024")</f>
        <v/>
      </c>
    </row>
    <row r="25" ht="15" customHeight="1">
      <c r="A25" t="inlineStr">
        <is>
          <t>A 13882-2023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45007</v>
      </c>
      <c r="E25" s="1" t="n">
        <v>46313</v>
      </c>
      <c r="F25" t="inlineStr">
        <is>
          <t>JÖNKÖPINGS LÄN</t>
        </is>
      </c>
      <c r="G25" t="inlineStr">
        <is>
          <t>MULLSJÖ</t>
        </is>
      </c>
      <c r="I25" t="n">
        <v>2.4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Västlig hakmossa</t>
        </is>
      </c>
      <c r="W25">
        <f>HYPERLINK("https://klasma.github.io/Logging_0642/artfynd/A 13882-2023 artfynd.xlsx", "A 13882-2023")</f>
        <v/>
      </c>
      <c r="X25">
        <f>HYPERLINK("https://klasma.github.io/Logging_0642/kartor/A 13882-2023 karta.png", "A 13882-2023")</f>
        <v/>
      </c>
      <c r="Y25">
        <f>HYPERLINK("https://klasma.github.io/Logging_0642/kartor_geotiff/A 13882-2023 georefererad karta.tif", "A 13882-2023")</f>
        <v/>
      </c>
      <c r="AA25">
        <f>HYPERLINK("https://klasma.github.io/Logging_0642/klagomål/A 13882-2023 FSC-klagomål.docx", "A 13882-2023")</f>
        <v/>
      </c>
      <c r="AB25">
        <f>HYPERLINK("https://klasma.github.io/Logging_0642/klagomålsmail/A 13882-2023 FSC-klagomål mail.docx", "A 13882-2023")</f>
        <v/>
      </c>
      <c r="AC25">
        <f>HYPERLINK("https://klasma.github.io/Logging_0642/tillsyn/A 13882-2023 tillsynsbegäran.docx", "A 13882-2023")</f>
        <v/>
      </c>
      <c r="AD25">
        <f>HYPERLINK("https://klasma.github.io/Logging_0642/tillsynsmail/A 13882-2023 tillsynsbegäran mail.docx", "A 13882-2023")</f>
        <v/>
      </c>
    </row>
    <row r="26" ht="15" customHeight="1">
      <c r="A26" t="inlineStr">
        <is>
          <t>A 44654-2023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45189</v>
      </c>
      <c r="E26" s="1" t="n">
        <v>46313</v>
      </c>
      <c r="F26" t="inlineStr">
        <is>
          <t>JÖNKÖPINGS LÄN</t>
        </is>
      </c>
      <c r="G26" t="inlineStr">
        <is>
          <t>MULLSJÖ</t>
        </is>
      </c>
      <c r="H26" t="inlineStr">
        <is>
          <t>Kommuner</t>
        </is>
      </c>
      <c r="I26" t="n">
        <v>4.7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s="2" t="inlineStr">
        <is>
          <t>Igelkott</t>
        </is>
      </c>
      <c r="W26">
        <f>HYPERLINK("https://klasma.github.io/Logging_0642/artfynd/A 44654-2023 artfynd.xlsx", "A 44654-2023")</f>
        <v/>
      </c>
      <c r="X26">
        <f>HYPERLINK("https://klasma.github.io/Logging_0642/kartor/A 44654-2023 karta.png", "A 44654-2023")</f>
        <v/>
      </c>
      <c r="Y26">
        <f>HYPERLINK("https://klasma.github.io/Logging_0642/kartor_geotiff/A 44654-2023 georefererad karta.tif", "A 44654-2023")</f>
        <v/>
      </c>
      <c r="AA26">
        <f>HYPERLINK("https://klasma.github.io/Logging_0642/klagomål/A 44654-2023 FSC-klagomål.docx", "A 44654-2023")</f>
        <v/>
      </c>
      <c r="AB26">
        <f>HYPERLINK("https://klasma.github.io/Logging_0642/klagomålsmail/A 44654-2023 FSC-klagomål mail.docx", "A 44654-2023")</f>
        <v/>
      </c>
      <c r="AC26">
        <f>HYPERLINK("https://klasma.github.io/Logging_0642/tillsyn/A 44654-2023 tillsynsbegäran.docx", "A 44654-2023")</f>
        <v/>
      </c>
      <c r="AD26">
        <f>HYPERLINK("https://klasma.github.io/Logging_0642/tillsynsmail/A 44654-2023 tillsynsbegäran mail.docx", "A 44654-2023")</f>
        <v/>
      </c>
    </row>
    <row r="27" ht="15" customHeight="1">
      <c r="A27" t="inlineStr">
        <is>
          <t>A 15498-2024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45401</v>
      </c>
      <c r="E27" s="1" t="n">
        <v>46313</v>
      </c>
      <c r="F27" t="inlineStr">
        <is>
          <t>JÖNKÖPINGS LÄN</t>
        </is>
      </c>
      <c r="G27" t="inlineStr">
        <is>
          <t>MULLSJÖ</t>
        </is>
      </c>
      <c r="H27" t="inlineStr">
        <is>
          <t>Kyrkan</t>
        </is>
      </c>
      <c r="I27" t="n">
        <v>4.8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s="2" t="inlineStr">
        <is>
          <t>Knärot</t>
        </is>
      </c>
      <c r="W27">
        <f>HYPERLINK("https://klasma.github.io/Logging_0642/artfynd/A 15498-2024 artfynd.xlsx", "A 15498-2024")</f>
        <v/>
      </c>
      <c r="X27">
        <f>HYPERLINK("https://klasma.github.io/Logging_0642/kartor/A 15498-2024 karta.png", "A 15498-2024")</f>
        <v/>
      </c>
      <c r="Y27">
        <f>HYPERLINK("https://klasma.github.io/Logging_0642/kartor_geotiff/A 15498-2024 georefererad karta.tif", "A 15498-2024")</f>
        <v/>
      </c>
      <c r="Z27">
        <f>HYPERLINK("https://klasma.github.io/Logging_0642/knärot/A 15498-2024 karta knärot.png", "A 15498-2024")</f>
        <v/>
      </c>
      <c r="AA27">
        <f>HYPERLINK("https://klasma.github.io/Logging_0642/klagomål/A 15498-2024 FSC-klagomål.docx", "A 15498-2024")</f>
        <v/>
      </c>
      <c r="AB27">
        <f>HYPERLINK("https://klasma.github.io/Logging_0642/klagomålsmail/A 15498-2024 FSC-klagomål mail.docx", "A 15498-2024")</f>
        <v/>
      </c>
      <c r="AC27">
        <f>HYPERLINK("https://klasma.github.io/Logging_0642/tillsyn/A 15498-2024 tillsynsbegäran.docx", "A 15498-2024")</f>
        <v/>
      </c>
      <c r="AD27">
        <f>HYPERLINK("https://klasma.github.io/Logging_0642/tillsynsmail/A 15498-2024 tillsynsbegäran mail.docx", "A 15498-2024")</f>
        <v/>
      </c>
    </row>
    <row r="28" ht="15" customHeight="1">
      <c r="A28" t="inlineStr">
        <is>
          <t>S 694-2026</t>
        </is>
      </c>
      <c r="B28" t="inlineStr">
        <is>
          <t>samrådsanmälan</t>
        </is>
      </c>
      <c r="C28" t="inlineStr">
        <is>
          <t>Askåterföring</t>
        </is>
      </c>
      <c r="D28" s="1" t="n">
        <v>46091</v>
      </c>
      <c r="E28" s="1" t="n">
        <v>46313</v>
      </c>
      <c r="F28" t="inlineStr">
        <is>
          <t>JÖNKÖPINGS LÄN</t>
        </is>
      </c>
      <c r="G28" t="inlineStr">
        <is>
          <t>MULLSJÖ</t>
        </is>
      </c>
      <c r="I28" t="n">
        <v>59.7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Tjäder</t>
        </is>
      </c>
      <c r="W28">
        <f>HYPERLINK("https://klasma.github.io/Logging_0642/artfynd/S 694-2026 artfynd.xlsx", "S 694-2026")</f>
        <v/>
      </c>
      <c r="X28">
        <f>HYPERLINK("https://klasma.github.io/Logging_0642/kartor/S 694-2026 karta.png", "S 694-2026")</f>
        <v/>
      </c>
      <c r="Y28">
        <f>HYPERLINK("https://klasma.github.io/Logging_0642/kartor_geotiff/S 694-2026 georefererad karta.tif", "S 694-2026")</f>
        <v/>
      </c>
      <c r="AA28">
        <f>HYPERLINK("https://klasma.github.io/Logging_0642/klagomål/S 694-2026 FSC-klagomål.docx", "S 694-2026")</f>
        <v/>
      </c>
      <c r="AB28">
        <f>HYPERLINK("https://klasma.github.io/Logging_0642/klagomålsmail/S 694-2026 FSC-klagomål mail.docx", "S 694-2026")</f>
        <v/>
      </c>
      <c r="AC28">
        <f>HYPERLINK("https://klasma.github.io/Logging_0642/tillsyn/S 694-2026 tillsynsbegäran.docx", "S 694-2026")</f>
        <v/>
      </c>
      <c r="AD28">
        <f>HYPERLINK("https://klasma.github.io/Logging_0642/tillsynsmail/S 694-2026 tillsynsbegäran mail.docx", "S 694-2026")</f>
        <v/>
      </c>
      <c r="AE28">
        <f>HYPERLINK("https://klasma.github.io/Logging_0642/fåglar/S 694-2026 prioriterade fågelarter.docx", "S 694-2026")</f>
        <v/>
      </c>
    </row>
    <row r="29" ht="15" customHeight="1">
      <c r="A29" t="inlineStr">
        <is>
          <t>A 65493-2021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44516</v>
      </c>
      <c r="E29" s="1" t="n">
        <v>46313</v>
      </c>
      <c r="F29" t="inlineStr">
        <is>
          <t>JÖNKÖPINGS LÄN</t>
        </is>
      </c>
      <c r="G29" t="inlineStr">
        <is>
          <t>MULLSJÖ</t>
        </is>
      </c>
      <c r="H29" t="inlineStr">
        <is>
          <t>Kyrkan</t>
        </is>
      </c>
      <c r="I29" t="n">
        <v>0.8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39354-2022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44817</v>
      </c>
      <c r="E30" s="1" t="n">
        <v>46313</v>
      </c>
      <c r="F30" t="inlineStr">
        <is>
          <t>JÖNKÖPINGS LÄN</t>
        </is>
      </c>
      <c r="G30" t="inlineStr">
        <is>
          <t>MULLSJÖ</t>
        </is>
      </c>
      <c r="I30" t="n">
        <v>0.4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52062-2022</t>
        </is>
      </c>
      <c r="B31" t="inlineStr">
        <is>
          <t>avverkningsanmälan</t>
        </is>
      </c>
      <c r="C31" t="inlineStr">
        <is>
          <t>Avverkning för annat ändamål</t>
        </is>
      </c>
      <c r="D31" s="1" t="n">
        <v>44873</v>
      </c>
      <c r="E31" s="1" t="n">
        <v>46313</v>
      </c>
      <c r="F31" t="inlineStr">
        <is>
          <t>JÖNKÖPINGS LÄN</t>
        </is>
      </c>
      <c r="G31" t="inlineStr">
        <is>
          <t>MULLSJÖ</t>
        </is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52058-2022</t>
        </is>
      </c>
      <c r="B32" t="inlineStr">
        <is>
          <t>avverkningsanmälan</t>
        </is>
      </c>
      <c r="C32" t="inlineStr">
        <is>
          <t>Avverkning för annat ändamål</t>
        </is>
      </c>
      <c r="D32" s="1" t="n">
        <v>44873</v>
      </c>
      <c r="E32" s="1" t="n">
        <v>46313</v>
      </c>
      <c r="F32" t="inlineStr">
        <is>
          <t>JÖNKÖPINGS LÄN</t>
        </is>
      </c>
      <c r="G32" t="inlineStr">
        <is>
          <t>MULLSJÖ</t>
        </is>
      </c>
      <c r="I32" t="n">
        <v>0.4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9903-2022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44620</v>
      </c>
      <c r="E33" s="1" t="n">
        <v>46313</v>
      </c>
      <c r="F33" t="inlineStr">
        <is>
          <t>JÖNKÖPINGS LÄN</t>
        </is>
      </c>
      <c r="G33" t="inlineStr">
        <is>
          <t>MULLSJÖ</t>
        </is>
      </c>
      <c r="I33" t="n">
        <v>16.8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13811-2022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44649</v>
      </c>
      <c r="E34" s="1" t="n">
        <v>46313</v>
      </c>
      <c r="F34" t="inlineStr">
        <is>
          <t>JÖNKÖPINGS LÄN</t>
        </is>
      </c>
      <c r="G34" t="inlineStr">
        <is>
          <t>MULLSJÖ</t>
        </is>
      </c>
      <c r="I34" t="n">
        <v>0.6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62452-2021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44503</v>
      </c>
      <c r="E35" s="1" t="n">
        <v>46313</v>
      </c>
      <c r="F35" t="inlineStr">
        <is>
          <t>JÖNKÖPINGS LÄN</t>
        </is>
      </c>
      <c r="G35" t="inlineStr">
        <is>
          <t>MULLSJÖ</t>
        </is>
      </c>
      <c r="I35" t="n">
        <v>2.1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27760-2022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44743</v>
      </c>
      <c r="E36" s="1" t="n">
        <v>46313</v>
      </c>
      <c r="F36" t="inlineStr">
        <is>
          <t>JÖNKÖPINGS LÄN</t>
        </is>
      </c>
      <c r="G36" t="inlineStr">
        <is>
          <t>MULLSJÖ</t>
        </is>
      </c>
      <c r="I36" t="n">
        <v>2.6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21691-2022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44707</v>
      </c>
      <c r="E37" s="1" t="n">
        <v>46313</v>
      </c>
      <c r="F37" t="inlineStr">
        <is>
          <t>JÖNKÖPINGS LÄN</t>
        </is>
      </c>
      <c r="G37" t="inlineStr">
        <is>
          <t>MULLSJÖ</t>
        </is>
      </c>
      <c r="I37" t="n">
        <v>0.6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16133-2022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44665</v>
      </c>
      <c r="E38" s="1" t="n">
        <v>46313</v>
      </c>
      <c r="F38" t="inlineStr">
        <is>
          <t>JÖNKÖPINGS LÄN</t>
        </is>
      </c>
      <c r="G38" t="inlineStr">
        <is>
          <t>MULLSJÖ</t>
        </is>
      </c>
      <c r="I38" t="n">
        <v>0.7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21693-2022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44707</v>
      </c>
      <c r="E39" s="1" t="n">
        <v>46313</v>
      </c>
      <c r="F39" t="inlineStr">
        <is>
          <t>JÖNKÖPINGS LÄN</t>
        </is>
      </c>
      <c r="G39" t="inlineStr">
        <is>
          <t>MULLSJÖ</t>
        </is>
      </c>
      <c r="I39" t="n">
        <v>0.4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35245-2023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45145</v>
      </c>
      <c r="E40" s="1" t="n">
        <v>46313</v>
      </c>
      <c r="F40" t="inlineStr">
        <is>
          <t>JÖNKÖPINGS LÄN</t>
        </is>
      </c>
      <c r="G40" t="inlineStr">
        <is>
          <t>MULLSJÖ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37797-2024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45543</v>
      </c>
      <c r="E41" s="1" t="n">
        <v>46313</v>
      </c>
      <c r="F41" t="inlineStr">
        <is>
          <t>JÖNKÖPINGS LÄN</t>
        </is>
      </c>
      <c r="G41" t="inlineStr">
        <is>
          <t>MULLSJÖ</t>
        </is>
      </c>
      <c r="I41" t="n">
        <v>6.8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37798-2024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45543</v>
      </c>
      <c r="E42" s="1" t="n">
        <v>46313</v>
      </c>
      <c r="F42" t="inlineStr">
        <is>
          <t>JÖNKÖPINGS LÄN</t>
        </is>
      </c>
      <c r="G42" t="inlineStr">
        <is>
          <t>MULLSJÖ</t>
        </is>
      </c>
      <c r="I42" t="n">
        <v>2.7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28791-2024</t>
        </is>
      </c>
      <c r="B43" t="inlineStr">
        <is>
          <t>avverkningsanmälan</t>
        </is>
      </c>
      <c r="C43" t="inlineStr">
        <is>
          <t>Avverkning för annat ändamål</t>
        </is>
      </c>
      <c r="D43" s="1" t="n">
        <v>45478</v>
      </c>
      <c r="E43" s="1" t="n">
        <v>46313</v>
      </c>
      <c r="F43" t="inlineStr">
        <is>
          <t>JÖNKÖPINGS LÄN</t>
        </is>
      </c>
      <c r="G43" t="inlineStr">
        <is>
          <t>MULLSJÖ</t>
        </is>
      </c>
      <c r="I43" t="n">
        <v>1.4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21687-2022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44707</v>
      </c>
      <c r="E44" s="1" t="n">
        <v>46313</v>
      </c>
      <c r="F44" t="inlineStr">
        <is>
          <t>JÖNKÖPINGS LÄN</t>
        </is>
      </c>
      <c r="G44" t="inlineStr">
        <is>
          <t>MULLSJÖ</t>
        </is>
      </c>
      <c r="I44" t="n">
        <v>2.2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3837-2025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45682</v>
      </c>
      <c r="E45" s="1" t="n">
        <v>46313</v>
      </c>
      <c r="F45" t="inlineStr">
        <is>
          <t>JÖNKÖPINGS LÄN</t>
        </is>
      </c>
      <c r="G45" t="inlineStr">
        <is>
          <t>MULLSJÖ</t>
        </is>
      </c>
      <c r="I45" t="n">
        <v>1.2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71048-2021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44538</v>
      </c>
      <c r="E46" s="1" t="n">
        <v>46313</v>
      </c>
      <c r="F46" t="inlineStr">
        <is>
          <t>JÖNKÖPINGS LÄN</t>
        </is>
      </c>
      <c r="G46" t="inlineStr">
        <is>
          <t>MULLSJÖ</t>
        </is>
      </c>
      <c r="I46" t="n">
        <v>3.7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49734-2024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45596</v>
      </c>
      <c r="E47" s="1" t="n">
        <v>46313</v>
      </c>
      <c r="F47" t="inlineStr">
        <is>
          <t>JÖNKÖPINGS LÄN</t>
        </is>
      </c>
      <c r="G47" t="inlineStr">
        <is>
          <t>MULLSJÖ</t>
        </is>
      </c>
      <c r="I47" t="n">
        <v>4.1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6210-2023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44964</v>
      </c>
      <c r="E48" s="1" t="n">
        <v>46313</v>
      </c>
      <c r="F48" t="inlineStr">
        <is>
          <t>JÖNKÖPINGS LÄN</t>
        </is>
      </c>
      <c r="G48" t="inlineStr">
        <is>
          <t>MULLSJÖ</t>
        </is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6212-2023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44964</v>
      </c>
      <c r="E49" s="1" t="n">
        <v>46313</v>
      </c>
      <c r="F49" t="inlineStr">
        <is>
          <t>JÖNKÖPINGS LÄN</t>
        </is>
      </c>
      <c r="G49" t="inlineStr">
        <is>
          <t>MULLSJÖ</t>
        </is>
      </c>
      <c r="I49" t="n">
        <v>1.5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33875-2024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45521</v>
      </c>
      <c r="E50" s="1" t="n">
        <v>46313</v>
      </c>
      <c r="F50" t="inlineStr">
        <is>
          <t>JÖNKÖPINGS LÄN</t>
        </is>
      </c>
      <c r="G50" t="inlineStr">
        <is>
          <t>MULLSJÖ</t>
        </is>
      </c>
      <c r="I50" t="n">
        <v>1.5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59503-2024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45638</v>
      </c>
      <c r="E51" s="1" t="n">
        <v>46313</v>
      </c>
      <c r="F51" t="inlineStr">
        <is>
          <t>JÖNKÖPINGS LÄN</t>
        </is>
      </c>
      <c r="G51" t="inlineStr">
        <is>
          <t>MULLSJÖ</t>
        </is>
      </c>
      <c r="I51" t="n">
        <v>1.4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39988-2024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45553</v>
      </c>
      <c r="E52" s="1" t="n">
        <v>46313</v>
      </c>
      <c r="F52" t="inlineStr">
        <is>
          <t>JÖNKÖPINGS LÄN</t>
        </is>
      </c>
      <c r="G52" t="inlineStr">
        <is>
          <t>MULLSJÖ</t>
        </is>
      </c>
      <c r="I52" t="n">
        <v>6.1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6690-2023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44966</v>
      </c>
      <c r="E53" s="1" t="n">
        <v>46313</v>
      </c>
      <c r="F53" t="inlineStr">
        <is>
          <t>JÖNKÖPINGS LÄN</t>
        </is>
      </c>
      <c r="G53" t="inlineStr">
        <is>
          <t>MULLSJÖ</t>
        </is>
      </c>
      <c r="I53" t="n">
        <v>2.8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40157-2023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45169</v>
      </c>
      <c r="E54" s="1" t="n">
        <v>46313</v>
      </c>
      <c r="F54" t="inlineStr">
        <is>
          <t>JÖNKÖPINGS LÄN</t>
        </is>
      </c>
      <c r="G54" t="inlineStr">
        <is>
          <t>MULLSJÖ</t>
        </is>
      </c>
      <c r="I54" t="n">
        <v>4.5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35113-2024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45529</v>
      </c>
      <c r="E55" s="1" t="n">
        <v>46313</v>
      </c>
      <c r="F55" t="inlineStr">
        <is>
          <t>JÖNKÖPINGS LÄN</t>
        </is>
      </c>
      <c r="G55" t="inlineStr">
        <is>
          <t>MULLSJÖ</t>
        </is>
      </c>
      <c r="I55" t="n">
        <v>1.8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4438-2025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45686</v>
      </c>
      <c r="E56" s="1" t="n">
        <v>46313</v>
      </c>
      <c r="F56" t="inlineStr">
        <is>
          <t>JÖNKÖPINGS LÄN</t>
        </is>
      </c>
      <c r="G56" t="inlineStr">
        <is>
          <t>MULLSJÖ</t>
        </is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30641-2024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45495</v>
      </c>
      <c r="E57" s="1" t="n">
        <v>46313</v>
      </c>
      <c r="F57" t="inlineStr">
        <is>
          <t>JÖNKÖPINGS LÄN</t>
        </is>
      </c>
      <c r="G57" t="inlineStr">
        <is>
          <t>MULLSJÖ</t>
        </is>
      </c>
      <c r="I57" t="n">
        <v>2.8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27549-2022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44742</v>
      </c>
      <c r="E58" s="1" t="n">
        <v>46313</v>
      </c>
      <c r="F58" t="inlineStr">
        <is>
          <t>JÖNKÖPINGS LÄN</t>
        </is>
      </c>
      <c r="G58" t="inlineStr">
        <is>
          <t>MULLSJÖ</t>
        </is>
      </c>
      <c r="I58" t="n">
        <v>3.8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7278-2025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45702</v>
      </c>
      <c r="E59" s="1" t="n">
        <v>46313</v>
      </c>
      <c r="F59" t="inlineStr">
        <is>
          <t>JÖNKÖPINGS LÄN</t>
        </is>
      </c>
      <c r="G59" t="inlineStr">
        <is>
          <t>MULLSJÖ</t>
        </is>
      </c>
      <c r="I59" t="n">
        <v>1.3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19107-2023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45048</v>
      </c>
      <c r="E60" s="1" t="n">
        <v>46313</v>
      </c>
      <c r="F60" t="inlineStr">
        <is>
          <t>JÖNKÖPINGS LÄN</t>
        </is>
      </c>
      <c r="G60" t="inlineStr">
        <is>
          <t>MULLSJÖ</t>
        </is>
      </c>
      <c r="I60" t="n">
        <v>2.5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6208-2023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44964</v>
      </c>
      <c r="E61" s="1" t="n">
        <v>46313</v>
      </c>
      <c r="F61" t="inlineStr">
        <is>
          <t>JÖNKÖPINGS LÄN</t>
        </is>
      </c>
      <c r="G61" t="inlineStr">
        <is>
          <t>MULLSJÖ</t>
        </is>
      </c>
      <c r="I61" t="n">
        <v>0.6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6196-2023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44964</v>
      </c>
      <c r="E62" s="1" t="n">
        <v>46313</v>
      </c>
      <c r="F62" t="inlineStr">
        <is>
          <t>JÖNKÖPINGS LÄN</t>
        </is>
      </c>
      <c r="G62" t="inlineStr">
        <is>
          <t>MULLSJÖ</t>
        </is>
      </c>
      <c r="I62" t="n">
        <v>1.6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39990-2024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45553</v>
      </c>
      <c r="E63" s="1" t="n">
        <v>46313</v>
      </c>
      <c r="F63" t="inlineStr">
        <is>
          <t>JÖNKÖPINGS LÄN</t>
        </is>
      </c>
      <c r="G63" t="inlineStr">
        <is>
          <t>MULLSJÖ</t>
        </is>
      </c>
      <c r="I63" t="n">
        <v>1.2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49733-2024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45596</v>
      </c>
      <c r="E64" s="1" t="n">
        <v>46313</v>
      </c>
      <c r="F64" t="inlineStr">
        <is>
          <t>JÖNKÖPINGS LÄN</t>
        </is>
      </c>
      <c r="G64" t="inlineStr">
        <is>
          <t>MULLSJÖ</t>
        </is>
      </c>
      <c r="I64" t="n">
        <v>15.1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14226-2024</t>
        </is>
      </c>
      <c r="B65" t="inlineStr">
        <is>
          <t>avverkningsanmälan</t>
        </is>
      </c>
      <c r="C65" t="inlineStr">
        <is>
          <t>Avverkning för annat ändamål</t>
        </is>
      </c>
      <c r="D65" s="1" t="n">
        <v>45393</v>
      </c>
      <c r="E65" s="1" t="n">
        <v>46313</v>
      </c>
      <c r="F65" t="inlineStr">
        <is>
          <t>JÖNKÖPINGS LÄN</t>
        </is>
      </c>
      <c r="G65" t="inlineStr">
        <is>
          <t>MULLSJÖ</t>
        </is>
      </c>
      <c r="I65" t="n">
        <v>2.4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57500-2022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44896</v>
      </c>
      <c r="E66" s="1" t="n">
        <v>46313</v>
      </c>
      <c r="F66" t="inlineStr">
        <is>
          <t>JÖNKÖPINGS LÄN</t>
        </is>
      </c>
      <c r="G66" t="inlineStr">
        <is>
          <t>MULLSJÖ</t>
        </is>
      </c>
      <c r="I66" t="n">
        <v>0.6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28940-2025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45820</v>
      </c>
      <c r="E67" s="1" t="n">
        <v>46313</v>
      </c>
      <c r="F67" t="inlineStr">
        <is>
          <t>JÖNKÖPINGS LÄN</t>
        </is>
      </c>
      <c r="G67" t="inlineStr">
        <is>
          <t>MULLSJÖ</t>
        </is>
      </c>
      <c r="I67" t="n">
        <v>7.7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12423-2025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45730</v>
      </c>
      <c r="E68" s="1" t="n">
        <v>46313</v>
      </c>
      <c r="F68" t="inlineStr">
        <is>
          <t>JÖNKÖPINGS LÄN</t>
        </is>
      </c>
      <c r="G68" t="inlineStr">
        <is>
          <t>MULLSJÖ</t>
        </is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39590-2025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45890</v>
      </c>
      <c r="E69" s="1" t="n">
        <v>46313</v>
      </c>
      <c r="F69" t="inlineStr">
        <is>
          <t>JÖNKÖPINGS LÄN</t>
        </is>
      </c>
      <c r="G69" t="inlineStr">
        <is>
          <t>MULLSJÖ</t>
        </is>
      </c>
      <c r="I69" t="n">
        <v>3.2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2642-2025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45676</v>
      </c>
      <c r="E70" s="1" t="n">
        <v>46313</v>
      </c>
      <c r="F70" t="inlineStr">
        <is>
          <t>JÖNKÖPINGS LÄN</t>
        </is>
      </c>
      <c r="G70" t="inlineStr">
        <is>
          <t>MULLSJÖ</t>
        </is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20671-2022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44700</v>
      </c>
      <c r="E71" s="1" t="n">
        <v>46313</v>
      </c>
      <c r="F71" t="inlineStr">
        <is>
          <t>JÖNKÖPINGS LÄN</t>
        </is>
      </c>
      <c r="G71" t="inlineStr">
        <is>
          <t>MULLSJÖ</t>
        </is>
      </c>
      <c r="I71" t="n">
        <v>2.4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24566-2023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45083</v>
      </c>
      <c r="E72" s="1" t="n">
        <v>46313</v>
      </c>
      <c r="F72" t="inlineStr">
        <is>
          <t>JÖNKÖPINGS LÄN</t>
        </is>
      </c>
      <c r="G72" t="inlineStr">
        <is>
          <t>MULLSJÖ</t>
        </is>
      </c>
      <c r="I72" t="n">
        <v>13.1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42155-2025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45904</v>
      </c>
      <c r="E73" s="1" t="n">
        <v>46313</v>
      </c>
      <c r="F73" t="inlineStr">
        <is>
          <t>JÖNKÖPINGS LÄN</t>
        </is>
      </c>
      <c r="G73" t="inlineStr">
        <is>
          <t>MULLSJÖ</t>
        </is>
      </c>
      <c r="H73" t="inlineStr">
        <is>
          <t>Kyrkan</t>
        </is>
      </c>
      <c r="I73" t="n">
        <v>0.4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43134-2025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45909</v>
      </c>
      <c r="E74" s="1" t="n">
        <v>46313</v>
      </c>
      <c r="F74" t="inlineStr">
        <is>
          <t>JÖNKÖPINGS LÄN</t>
        </is>
      </c>
      <c r="G74" t="inlineStr">
        <is>
          <t>MULLSJÖ</t>
        </is>
      </c>
      <c r="I74" t="n">
        <v>0.4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22270-2024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45446</v>
      </c>
      <c r="E75" s="1" t="n">
        <v>46313</v>
      </c>
      <c r="F75" t="inlineStr">
        <is>
          <t>JÖNKÖPINGS LÄN</t>
        </is>
      </c>
      <c r="G75" t="inlineStr">
        <is>
          <t>MULLSJÖ</t>
        </is>
      </c>
      <c r="I75" t="n">
        <v>0.7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6194-2023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44964</v>
      </c>
      <c r="E76" s="1" t="n">
        <v>46313</v>
      </c>
      <c r="F76" t="inlineStr">
        <is>
          <t>JÖNKÖPINGS LÄN</t>
        </is>
      </c>
      <c r="G76" t="inlineStr">
        <is>
          <t>MULLSJÖ</t>
        </is>
      </c>
      <c r="I76" t="n">
        <v>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6214-2023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44964</v>
      </c>
      <c r="E77" s="1" t="n">
        <v>46313</v>
      </c>
      <c r="F77" t="inlineStr">
        <is>
          <t>JÖNKÖPINGS LÄN</t>
        </is>
      </c>
      <c r="G77" t="inlineStr">
        <is>
          <t>MULLSJÖ</t>
        </is>
      </c>
      <c r="I77" t="n">
        <v>0.6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49925-2023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45214</v>
      </c>
      <c r="E78" s="1" t="n">
        <v>46313</v>
      </c>
      <c r="F78" t="inlineStr">
        <is>
          <t>JÖNKÖPINGS LÄN</t>
        </is>
      </c>
      <c r="G78" t="inlineStr">
        <is>
          <t>MULLSJÖ</t>
        </is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46536-2025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45926</v>
      </c>
      <c r="E79" s="1" t="n">
        <v>46313</v>
      </c>
      <c r="F79" t="inlineStr">
        <is>
          <t>JÖNKÖPINGS LÄN</t>
        </is>
      </c>
      <c r="G79" t="inlineStr">
        <is>
          <t>MULLSJÖ</t>
        </is>
      </c>
      <c r="I79" t="n">
        <v>3.5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46539-2025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45926</v>
      </c>
      <c r="E80" s="1" t="n">
        <v>46313</v>
      </c>
      <c r="F80" t="inlineStr">
        <is>
          <t>JÖNKÖPINGS LÄN</t>
        </is>
      </c>
      <c r="G80" t="inlineStr">
        <is>
          <t>MULLSJÖ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46533-2025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45926</v>
      </c>
      <c r="E81" s="1" t="n">
        <v>46313</v>
      </c>
      <c r="F81" t="inlineStr">
        <is>
          <t>JÖNKÖPINGS LÄN</t>
        </is>
      </c>
      <c r="G81" t="inlineStr">
        <is>
          <t>MULLSJÖ</t>
        </is>
      </c>
      <c r="I81" t="n">
        <v>2.8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46848-2025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45928</v>
      </c>
      <c r="E82" s="1" t="n">
        <v>46313</v>
      </c>
      <c r="F82" t="inlineStr">
        <is>
          <t>JÖNKÖPINGS LÄN</t>
        </is>
      </c>
      <c r="G82" t="inlineStr">
        <is>
          <t>MULLSJÖ</t>
        </is>
      </c>
      <c r="I82" t="n">
        <v>0.4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48096-2025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45933</v>
      </c>
      <c r="E83" s="1" t="n">
        <v>46313</v>
      </c>
      <c r="F83" t="inlineStr">
        <is>
          <t>JÖNKÖPINGS LÄN</t>
        </is>
      </c>
      <c r="G83" t="inlineStr">
        <is>
          <t>MULLSJÖ</t>
        </is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28605-2023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45103</v>
      </c>
      <c r="E84" s="1" t="n">
        <v>46313</v>
      </c>
      <c r="F84" t="inlineStr">
        <is>
          <t>JÖNKÖPINGS LÄN</t>
        </is>
      </c>
      <c r="G84" t="inlineStr">
        <is>
          <t>MULLSJÖ</t>
        </is>
      </c>
      <c r="I84" t="n">
        <v>1.6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49779-2025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45940</v>
      </c>
      <c r="E85" s="1" t="n">
        <v>46313</v>
      </c>
      <c r="F85" t="inlineStr">
        <is>
          <t>JÖNKÖPINGS LÄN</t>
        </is>
      </c>
      <c r="G85" t="inlineStr">
        <is>
          <t>MULLSJÖ</t>
        </is>
      </c>
      <c r="I85" t="n">
        <v>1.8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35244-2023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45145</v>
      </c>
      <c r="E86" s="1" t="n">
        <v>46313</v>
      </c>
      <c r="F86" t="inlineStr">
        <is>
          <t>JÖNKÖPINGS LÄN</t>
        </is>
      </c>
      <c r="G86" t="inlineStr">
        <is>
          <t>MULLSJÖ</t>
        </is>
      </c>
      <c r="I86" t="n">
        <v>4.9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17007-2025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45755</v>
      </c>
      <c r="E87" s="1" t="n">
        <v>46313</v>
      </c>
      <c r="F87" t="inlineStr">
        <is>
          <t>JÖNKÖPINGS LÄN</t>
        </is>
      </c>
      <c r="G87" t="inlineStr">
        <is>
          <t>MULLSJÖ</t>
        </is>
      </c>
      <c r="I87" t="n">
        <v>2.3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17011-2025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45755</v>
      </c>
      <c r="E88" s="1" t="n">
        <v>46313</v>
      </c>
      <c r="F88" t="inlineStr">
        <is>
          <t>JÖNKÖPINGS LÄN</t>
        </is>
      </c>
      <c r="G88" t="inlineStr">
        <is>
          <t>MULLSJÖ</t>
        </is>
      </c>
      <c r="I88" t="n">
        <v>2.7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16567-2025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45752</v>
      </c>
      <c r="E89" s="1" t="n">
        <v>46313</v>
      </c>
      <c r="F89" t="inlineStr">
        <is>
          <t>JÖNKÖPINGS LÄN</t>
        </is>
      </c>
      <c r="G89" t="inlineStr">
        <is>
          <t>MULLSJÖ</t>
        </is>
      </c>
      <c r="I89" t="n">
        <v>1.8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16568-2025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45752</v>
      </c>
      <c r="E90" s="1" t="n">
        <v>46313</v>
      </c>
      <c r="F90" t="inlineStr">
        <is>
          <t>JÖNKÖPINGS LÄN</t>
        </is>
      </c>
      <c r="G90" t="inlineStr">
        <is>
          <t>MULLSJÖ</t>
        </is>
      </c>
      <c r="I90" t="n">
        <v>2.6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16570-2025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45752</v>
      </c>
      <c r="E91" s="1" t="n">
        <v>46313</v>
      </c>
      <c r="F91" t="inlineStr">
        <is>
          <t>JÖNKÖPINGS LÄN</t>
        </is>
      </c>
      <c r="G91" t="inlineStr">
        <is>
          <t>MULLSJÖ</t>
        </is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52321-2025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45953</v>
      </c>
      <c r="E92" s="1" t="n">
        <v>46313</v>
      </c>
      <c r="F92" t="inlineStr">
        <is>
          <t>JÖNKÖPINGS LÄN</t>
        </is>
      </c>
      <c r="G92" t="inlineStr">
        <is>
          <t>MULLSJÖ</t>
        </is>
      </c>
      <c r="I92" t="n">
        <v>2.6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46901-2023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45201</v>
      </c>
      <c r="E93" s="1" t="n">
        <v>46313</v>
      </c>
      <c r="F93" t="inlineStr">
        <is>
          <t>JÖNKÖPINGS LÄN</t>
        </is>
      </c>
      <c r="G93" t="inlineStr">
        <is>
          <t>MULLSJÖ</t>
        </is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40960-2023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45169</v>
      </c>
      <c r="E94" s="1" t="n">
        <v>46313</v>
      </c>
      <c r="F94" t="inlineStr">
        <is>
          <t>JÖNKÖPINGS LÄN</t>
        </is>
      </c>
      <c r="G94" t="inlineStr">
        <is>
          <t>MULLSJÖ</t>
        </is>
      </c>
      <c r="I94" t="n">
        <v>1.9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8371-2023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44977</v>
      </c>
      <c r="E95" s="1" t="n">
        <v>46313</v>
      </c>
      <c r="F95" t="inlineStr">
        <is>
          <t>JÖNKÖPINGS LÄN</t>
        </is>
      </c>
      <c r="G95" t="inlineStr">
        <is>
          <t>MULLSJÖ</t>
        </is>
      </c>
      <c r="I95" t="n">
        <v>4.7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16573-2025</t>
        </is>
      </c>
      <c r="B96" t="inlineStr">
        <is>
          <t>avverkningsanmälan</t>
        </is>
      </c>
      <c r="C96" t="inlineStr">
        <is>
          <t>Avverkning för annat ändamål</t>
        </is>
      </c>
      <c r="D96" s="1" t="n">
        <v>45752</v>
      </c>
      <c r="E96" s="1" t="n">
        <v>46313</v>
      </c>
      <c r="F96" t="inlineStr">
        <is>
          <t>JÖNKÖPINGS LÄN</t>
        </is>
      </c>
      <c r="G96" t="inlineStr">
        <is>
          <t>MULLSJÖ</t>
        </is>
      </c>
      <c r="I96" t="n">
        <v>9.6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16350-2022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44670</v>
      </c>
      <c r="E97" s="1" t="n">
        <v>46313</v>
      </c>
      <c r="F97" t="inlineStr">
        <is>
          <t>JÖNKÖPINGS LÄN</t>
        </is>
      </c>
      <c r="G97" t="inlineStr">
        <is>
          <t>MULLSJÖ</t>
        </is>
      </c>
      <c r="I97" t="n">
        <v>1.4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2495-2024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45313</v>
      </c>
      <c r="E98" s="1" t="n">
        <v>46313</v>
      </c>
      <c r="F98" t="inlineStr">
        <is>
          <t>JÖNKÖPINGS LÄN</t>
        </is>
      </c>
      <c r="G98" t="inlineStr">
        <is>
          <t>MULLSJÖ</t>
        </is>
      </c>
      <c r="I98" t="n">
        <v>3.5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59332-2024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45637</v>
      </c>
      <c r="E99" s="1" t="n">
        <v>46313</v>
      </c>
      <c r="F99" t="inlineStr">
        <is>
          <t>JÖNKÖPINGS LÄN</t>
        </is>
      </c>
      <c r="G99" t="inlineStr">
        <is>
          <t>MULLSJÖ</t>
        </is>
      </c>
      <c r="I99" t="n">
        <v>1.7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23787-2024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45455</v>
      </c>
      <c r="E100" s="1" t="n">
        <v>46313</v>
      </c>
      <c r="F100" t="inlineStr">
        <is>
          <t>JÖNKÖPINGS LÄN</t>
        </is>
      </c>
      <c r="G100" t="inlineStr">
        <is>
          <t>MULLSJÖ</t>
        </is>
      </c>
      <c r="I100" t="n">
        <v>1.4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62586-2025</t>
        </is>
      </c>
      <c r="B101" t="inlineStr">
        <is>
          <t>avverkningsanmälan</t>
        </is>
      </c>
      <c r="C101" t="inlineStr">
        <is>
          <t>Avverkning för att bevara och utveckla /försöksver</t>
        </is>
      </c>
      <c r="D101" s="1" t="n">
        <v>46007</v>
      </c>
      <c r="E101" s="1" t="n">
        <v>46313</v>
      </c>
      <c r="F101" t="inlineStr">
        <is>
          <t>JÖNKÖPINGS LÄN</t>
        </is>
      </c>
      <c r="G101" t="inlineStr">
        <is>
          <t>MULLSJÖ</t>
        </is>
      </c>
      <c r="I101" t="n">
        <v>2.3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62956-2025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46009</v>
      </c>
      <c r="E102" s="1" t="n">
        <v>46313</v>
      </c>
      <c r="F102" t="inlineStr">
        <is>
          <t>JÖNKÖPINGS LÄN</t>
        </is>
      </c>
      <c r="G102" t="inlineStr">
        <is>
          <t>MULLSJÖ</t>
        </is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15707-2025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45748</v>
      </c>
      <c r="E103" s="1" t="n">
        <v>46313</v>
      </c>
      <c r="F103" t="inlineStr">
        <is>
          <t>JÖNKÖPINGS LÄN</t>
        </is>
      </c>
      <c r="G103" t="inlineStr">
        <is>
          <t>MULLSJÖ</t>
        </is>
      </c>
      <c r="I103" t="n">
        <v>2.7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11515-2024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45372</v>
      </c>
      <c r="E104" s="1" t="n">
        <v>46313</v>
      </c>
      <c r="F104" t="inlineStr">
        <is>
          <t>JÖNKÖPINGS LÄN</t>
        </is>
      </c>
      <c r="G104" t="inlineStr">
        <is>
          <t>MULLSJÖ</t>
        </is>
      </c>
      <c r="H104" t="inlineStr">
        <is>
          <t>Kyrkan</t>
        </is>
      </c>
      <c r="I104" t="n">
        <v>7.2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1347-2026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46031</v>
      </c>
      <c r="E105" s="1" t="n">
        <v>46313</v>
      </c>
      <c r="F105" t="inlineStr">
        <is>
          <t>JÖNKÖPINGS LÄN</t>
        </is>
      </c>
      <c r="G105" t="inlineStr">
        <is>
          <t>MULLSJÖ</t>
        </is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14064-2025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45740</v>
      </c>
      <c r="E106" s="1" t="n">
        <v>46313</v>
      </c>
      <c r="F106" t="inlineStr">
        <is>
          <t>JÖNKÖPINGS LÄN</t>
        </is>
      </c>
      <c r="G106" t="inlineStr">
        <is>
          <t>MULLSJÖ</t>
        </is>
      </c>
      <c r="I106" t="n">
        <v>0.6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7181-2023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44970</v>
      </c>
      <c r="E107" s="1" t="n">
        <v>46313</v>
      </c>
      <c r="F107" t="inlineStr">
        <is>
          <t>JÖNKÖPINGS LÄN</t>
        </is>
      </c>
      <c r="G107" t="inlineStr">
        <is>
          <t>MULLSJÖ</t>
        </is>
      </c>
      <c r="H107" t="inlineStr">
        <is>
          <t>Kommuner</t>
        </is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  <c r="Z107">
        <f>HYPERLINK("https://klasma.github.io/Logging_0642/knärot/A 7181-2023 karta knärot.png", "A 7181-2023")</f>
        <v/>
      </c>
      <c r="AA107">
        <f>HYPERLINK("https://klasma.github.io/Logging_0642/klagomål/A 7181-2023 FSC-klagomål.docx", "A 7181-2023")</f>
        <v/>
      </c>
      <c r="AB107">
        <f>HYPERLINK("https://klasma.github.io/Logging_0642/klagomålsmail/A 7181-2023 FSC-klagomål mail.docx", "A 7181-2023")</f>
        <v/>
      </c>
      <c r="AC107">
        <f>HYPERLINK("https://klasma.github.io/Logging_0642/tillsyn/A 7181-2023 tillsynsbegäran.docx", "A 7181-2023")</f>
        <v/>
      </c>
      <c r="AD107">
        <f>HYPERLINK("https://klasma.github.io/Logging_0642/tillsynsmail/A 7181-2023 tillsynsbegäran mail.docx", "A 7181-2023")</f>
        <v/>
      </c>
    </row>
    <row r="108" ht="15" customHeight="1">
      <c r="A108" t="inlineStr">
        <is>
          <t>A 4355-2023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44954</v>
      </c>
      <c r="E108" s="1" t="n">
        <v>46313</v>
      </c>
      <c r="F108" t="inlineStr">
        <is>
          <t>JÖNKÖPINGS LÄN</t>
        </is>
      </c>
      <c r="G108" t="inlineStr">
        <is>
          <t>MULLSJÖ</t>
        </is>
      </c>
      <c r="I108" t="n">
        <v>3.2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2497-2024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45313</v>
      </c>
      <c r="E109" s="1" t="n">
        <v>46313</v>
      </c>
      <c r="F109" t="inlineStr">
        <is>
          <t>JÖNKÖPINGS LÄN</t>
        </is>
      </c>
      <c r="G109" t="inlineStr">
        <is>
          <t>MULLSJÖ</t>
        </is>
      </c>
      <c r="I109" t="n">
        <v>1.1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14748-2022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44656</v>
      </c>
      <c r="E110" s="1" t="n">
        <v>46313</v>
      </c>
      <c r="F110" t="inlineStr">
        <is>
          <t>JÖNKÖPINGS LÄN</t>
        </is>
      </c>
      <c r="G110" t="inlineStr">
        <is>
          <t>MULLSJÖ</t>
        </is>
      </c>
      <c r="I110" t="n">
        <v>2.6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12351-2026</t>
        </is>
      </c>
      <c r="B111" t="inlineStr">
        <is>
          <t>avverkningsanmälan</t>
        </is>
      </c>
      <c r="C111" t="inlineStr">
        <is>
          <t>Avverkning för annat ändamål</t>
        </is>
      </c>
      <c r="D111" s="1" t="n">
        <v>46088</v>
      </c>
      <c r="E111" s="1" t="n">
        <v>46313</v>
      </c>
      <c r="F111" t="inlineStr">
        <is>
          <t>JÖNKÖPINGS LÄN</t>
        </is>
      </c>
      <c r="G111" t="inlineStr">
        <is>
          <t>MULLSJÖ</t>
        </is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39353-2022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44817</v>
      </c>
      <c r="E112" s="1" t="n">
        <v>46313</v>
      </c>
      <c r="F112" t="inlineStr">
        <is>
          <t>JÖNKÖPINGS LÄN</t>
        </is>
      </c>
      <c r="G112" t="inlineStr">
        <is>
          <t>MULLSJÖ</t>
        </is>
      </c>
      <c r="I112" t="n">
        <v>2.9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57025-2022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44895</v>
      </c>
      <c r="E113" s="1" t="n">
        <v>46313</v>
      </c>
      <c r="F113" t="inlineStr">
        <is>
          <t>JÖNKÖPINGS LÄN</t>
        </is>
      </c>
      <c r="G113" t="inlineStr">
        <is>
          <t>MULLSJÖ</t>
        </is>
      </c>
      <c r="I113" t="n">
        <v>1.9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23789-2024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45455</v>
      </c>
      <c r="E114" s="1" t="n">
        <v>46313</v>
      </c>
      <c r="F114" t="inlineStr">
        <is>
          <t>JÖNKÖPINGS LÄN</t>
        </is>
      </c>
      <c r="G114" t="inlineStr">
        <is>
          <t>MULLSJÖ</t>
        </is>
      </c>
      <c r="I114" t="n">
        <v>3.3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52385-2022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44869</v>
      </c>
      <c r="E115" s="1" t="n">
        <v>46313</v>
      </c>
      <c r="F115" t="inlineStr">
        <is>
          <t>JÖNKÖPINGS LÄN</t>
        </is>
      </c>
      <c r="G115" t="inlineStr">
        <is>
          <t>MULLSJÖ</t>
        </is>
      </c>
      <c r="I115" t="n">
        <v>10.9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56145-2022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44889</v>
      </c>
      <c r="E116" s="1" t="n">
        <v>46313</v>
      </c>
      <c r="F116" t="inlineStr">
        <is>
          <t>JÖNKÖPINGS LÄN</t>
        </is>
      </c>
      <c r="G116" t="inlineStr">
        <is>
          <t>MULLSJÖ</t>
        </is>
      </c>
      <c r="I116" t="n">
        <v>14.1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28517-2026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46197</v>
      </c>
      <c r="E117" s="1" t="n">
        <v>46313</v>
      </c>
      <c r="F117" t="inlineStr">
        <is>
          <t>JÖNKÖPINGS LÄN</t>
        </is>
      </c>
      <c r="G117" t="inlineStr">
        <is>
          <t>MULLSJÖ</t>
        </is>
      </c>
      <c r="I117" t="n">
        <v>0.6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28508-2026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46197</v>
      </c>
      <c r="E118" s="1" t="n">
        <v>46313</v>
      </c>
      <c r="F118" t="inlineStr">
        <is>
          <t>JÖNKÖPINGS LÄN</t>
        </is>
      </c>
      <c r="G118" t="inlineStr">
        <is>
          <t>MULLSJÖ</t>
        </is>
      </c>
      <c r="I118" t="n">
        <v>1.4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18421-2026</t>
        </is>
      </c>
      <c r="B119" t="inlineStr">
        <is>
          <t>avverkningsanmälan</t>
        </is>
      </c>
      <c r="C119" t="inlineStr">
        <is>
          <t>Avverkning för annat ändamål</t>
        </is>
      </c>
      <c r="D119" s="1" t="n">
        <v>46126</v>
      </c>
      <c r="E119" s="1" t="n">
        <v>46313</v>
      </c>
      <c r="F119" t="inlineStr">
        <is>
          <t>JÖNKÖPINGS LÄN</t>
        </is>
      </c>
      <c r="G119" t="inlineStr">
        <is>
          <t>MULLSJÖ</t>
        </is>
      </c>
      <c r="I119" t="n">
        <v>1.5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4356-2023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44954</v>
      </c>
      <c r="E120" s="1" t="n">
        <v>46313</v>
      </c>
      <c r="F120" t="inlineStr">
        <is>
          <t>JÖNKÖPINGS LÄN</t>
        </is>
      </c>
      <c r="G120" t="inlineStr">
        <is>
          <t>MULLSJÖ</t>
        </is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4359-2023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44954</v>
      </c>
      <c r="E121" s="1" t="n">
        <v>46313</v>
      </c>
      <c r="F121" t="inlineStr">
        <is>
          <t>JÖNKÖPINGS LÄN</t>
        </is>
      </c>
      <c r="G121" t="inlineStr">
        <is>
          <t>MULLSJÖ</t>
        </is>
      </c>
      <c r="I121" t="n">
        <v>2.5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12273-2023</t>
        </is>
      </c>
      <c r="B122" t="inlineStr">
        <is>
          <t>avverkningsanmälan</t>
        </is>
      </c>
      <c r="C122" t="inlineStr">
        <is>
          <t>Avverkning för annat ändamål</t>
        </is>
      </c>
      <c r="D122" s="1" t="n">
        <v>44998</v>
      </c>
      <c r="E122" s="1" t="n">
        <v>46313</v>
      </c>
      <c r="F122" t="inlineStr">
        <is>
          <t>JÖNKÖPINGS LÄN</t>
        </is>
      </c>
      <c r="G122" t="inlineStr">
        <is>
          <t>MULLSJÖ</t>
        </is>
      </c>
      <c r="I122" t="n">
        <v>1.7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50297-2022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44865</v>
      </c>
      <c r="E123" s="1" t="n">
        <v>46313</v>
      </c>
      <c r="F123" t="inlineStr">
        <is>
          <t>JÖNKÖPINGS LÄN</t>
        </is>
      </c>
      <c r="G123" t="inlineStr">
        <is>
          <t>MULLSJÖ</t>
        </is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11457-2023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44993</v>
      </c>
      <c r="E124" s="1" t="n">
        <v>46313</v>
      </c>
      <c r="F124" t="inlineStr">
        <is>
          <t>JÖNKÖPINGS LÄN</t>
        </is>
      </c>
      <c r="G124" t="inlineStr">
        <is>
          <t>MULLSJÖ</t>
        </is>
      </c>
      <c r="I124" t="n">
        <v>0.6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7654-2022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44607</v>
      </c>
      <c r="E125" s="1" t="n">
        <v>46313</v>
      </c>
      <c r="F125" t="inlineStr">
        <is>
          <t>JÖNKÖPINGS LÄN</t>
        </is>
      </c>
      <c r="G125" t="inlineStr">
        <is>
          <t>MULLSJÖ</t>
        </is>
      </c>
      <c r="I125" t="n">
        <v>1.5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56876-2023</t>
        </is>
      </c>
      <c r="B126" t="inlineStr">
        <is>
          <t>avverkningsanmälan</t>
        </is>
      </c>
      <c r="C126" t="inlineStr">
        <is>
          <t>Avverkning för annat ändamål</t>
        </is>
      </c>
      <c r="D126" s="1" t="n">
        <v>45244</v>
      </c>
      <c r="E126" s="1" t="n">
        <v>46313</v>
      </c>
      <c r="F126" t="inlineStr">
        <is>
          <t>JÖNKÖPINGS LÄN</t>
        </is>
      </c>
      <c r="G126" t="inlineStr">
        <is>
          <t>MULLSJÖ</t>
        </is>
      </c>
      <c r="I126" t="n">
        <v>0.6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7268-2025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45702</v>
      </c>
      <c r="E127" s="1" t="n">
        <v>46313</v>
      </c>
      <c r="F127" t="inlineStr">
        <is>
          <t>JÖNKÖPINGS LÄN</t>
        </is>
      </c>
      <c r="G127" t="inlineStr">
        <is>
          <t>MULLSJÖ</t>
        </is>
      </c>
      <c r="I127" t="n">
        <v>1.2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31162-2026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46216</v>
      </c>
      <c r="E128" s="1" t="n">
        <v>46313</v>
      </c>
      <c r="F128" t="inlineStr">
        <is>
          <t>JÖNKÖPINGS LÄN</t>
        </is>
      </c>
      <c r="G128" t="inlineStr">
        <is>
          <t>MULLSJÖ</t>
        </is>
      </c>
      <c r="I128" t="n">
        <v>1.7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31157-2026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46216</v>
      </c>
      <c r="E129" s="1" t="n">
        <v>46313</v>
      </c>
      <c r="F129" t="inlineStr">
        <is>
          <t>JÖNKÖPINGS LÄN</t>
        </is>
      </c>
      <c r="G129" t="inlineStr">
        <is>
          <t>MULLSJÖ</t>
        </is>
      </c>
      <c r="I129" t="n">
        <v>3.3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1794-2023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44938</v>
      </c>
      <c r="E130" s="1" t="n">
        <v>46313</v>
      </c>
      <c r="F130" t="inlineStr">
        <is>
          <t>JÖNKÖPINGS LÄN</t>
        </is>
      </c>
      <c r="G130" t="inlineStr">
        <is>
          <t>MULLSJÖ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34914-2022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44796</v>
      </c>
      <c r="E131" s="1" t="n">
        <v>46313</v>
      </c>
      <c r="F131" t="inlineStr">
        <is>
          <t>JÖNKÖPINGS LÄN</t>
        </is>
      </c>
      <c r="G131" t="inlineStr">
        <is>
          <t>MULLSJÖ</t>
        </is>
      </c>
      <c r="I131" t="n">
        <v>2.7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14742-2022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44656</v>
      </c>
      <c r="E132" s="1" t="n">
        <v>46313</v>
      </c>
      <c r="F132" t="inlineStr">
        <is>
          <t>JÖNKÖPINGS LÄN</t>
        </is>
      </c>
      <c r="G132" t="inlineStr">
        <is>
          <t>MULLSJÖ</t>
        </is>
      </c>
      <c r="I132" t="n">
        <v>2.2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14745-2022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44656</v>
      </c>
      <c r="E133" s="1" t="n">
        <v>46313</v>
      </c>
      <c r="F133" t="inlineStr">
        <is>
          <t>JÖNKÖPINGS LÄN</t>
        </is>
      </c>
      <c r="G133" t="inlineStr">
        <is>
          <t>MULLSJÖ</t>
        </is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26757-2024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45469</v>
      </c>
      <c r="E134" s="1" t="n">
        <v>46313</v>
      </c>
      <c r="F134" t="inlineStr">
        <is>
          <t>JÖNKÖPINGS LÄN</t>
        </is>
      </c>
      <c r="G134" t="inlineStr">
        <is>
          <t>MULLSJÖ</t>
        </is>
      </c>
      <c r="I134" t="n">
        <v>1.4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31984-2026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46232</v>
      </c>
      <c r="E135" s="1" t="n">
        <v>46313</v>
      </c>
      <c r="F135" t="inlineStr">
        <is>
          <t>JÖNKÖPINGS LÄN</t>
        </is>
      </c>
      <c r="G135" t="inlineStr">
        <is>
          <t>MULLSJÖ</t>
        </is>
      </c>
      <c r="I135" t="n">
        <v>3.7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42872-2022</t>
        </is>
      </c>
      <c r="B136" t="inlineStr">
        <is>
          <t>avverkningsanmälan</t>
        </is>
      </c>
      <c r="C136" t="inlineStr">
        <is>
          <t>Avverkning för annat ändamål</t>
        </is>
      </c>
      <c r="D136" s="1" t="n">
        <v>44832</v>
      </c>
      <c r="E136" s="1" t="n">
        <v>46313</v>
      </c>
      <c r="F136" t="inlineStr">
        <is>
          <t>JÖNKÖPINGS LÄN</t>
        </is>
      </c>
      <c r="G136" t="inlineStr">
        <is>
          <t>MULLSJÖ</t>
        </is>
      </c>
      <c r="I136" t="n">
        <v>2.2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3775-2024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45321</v>
      </c>
      <c r="E137" s="1" t="n">
        <v>46313</v>
      </c>
      <c r="F137" t="inlineStr">
        <is>
          <t>JÖNKÖPINGS LÄN</t>
        </is>
      </c>
      <c r="G137" t="inlineStr">
        <is>
          <t>MULLSJÖ</t>
        </is>
      </c>
      <c r="I137" t="n">
        <v>2.3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40661-2023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45170</v>
      </c>
      <c r="E138" s="1" t="n">
        <v>46313</v>
      </c>
      <c r="F138" t="inlineStr">
        <is>
          <t>JÖNKÖPINGS LÄN</t>
        </is>
      </c>
      <c r="G138" t="inlineStr">
        <is>
          <t>MULLSJÖ</t>
        </is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15489-2024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45401</v>
      </c>
      <c r="E139" s="1" t="n">
        <v>46313</v>
      </c>
      <c r="F139" t="inlineStr">
        <is>
          <t>JÖNKÖPINGS LÄN</t>
        </is>
      </c>
      <c r="G139" t="inlineStr">
        <is>
          <t>MULLSJÖ</t>
        </is>
      </c>
      <c r="I139" t="n">
        <v>0.6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32702-2026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46240</v>
      </c>
      <c r="E140" s="1" t="n">
        <v>46313</v>
      </c>
      <c r="F140" t="inlineStr">
        <is>
          <t>JÖNKÖPINGS LÄN</t>
        </is>
      </c>
      <c r="G140" t="inlineStr">
        <is>
          <t>MULLSJÖ</t>
        </is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32699-2026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46240</v>
      </c>
      <c r="E141" s="1" t="n">
        <v>46313</v>
      </c>
      <c r="F141" t="inlineStr">
        <is>
          <t>JÖNKÖPINGS LÄN</t>
        </is>
      </c>
      <c r="G141" t="inlineStr">
        <is>
          <t>MULLSJÖ</t>
        </is>
      </c>
      <c r="I141" t="n">
        <v>5.3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11117-2023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44992</v>
      </c>
      <c r="E142" s="1" t="n">
        <v>46313</v>
      </c>
      <c r="F142" t="inlineStr">
        <is>
          <t>JÖNKÖPINGS LÄN</t>
        </is>
      </c>
      <c r="G142" t="inlineStr">
        <is>
          <t>MULLSJÖ</t>
        </is>
      </c>
      <c r="I142" t="n">
        <v>3.3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11282-2024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45371</v>
      </c>
      <c r="E143" s="1" t="n">
        <v>46313</v>
      </c>
      <c r="F143" t="inlineStr">
        <is>
          <t>JÖNKÖPINGS LÄN</t>
        </is>
      </c>
      <c r="G143" t="inlineStr">
        <is>
          <t>MULLSJÖ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3946-2023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44952</v>
      </c>
      <c r="E144" s="1" t="n">
        <v>46313</v>
      </c>
      <c r="F144" t="inlineStr">
        <is>
          <t>JÖNKÖPINGS LÄN</t>
        </is>
      </c>
      <c r="G144" t="inlineStr">
        <is>
          <t>MULLSJÖ</t>
        </is>
      </c>
      <c r="I144" t="n">
        <v>1.1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33275-2026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46246</v>
      </c>
      <c r="E145" s="1" t="n">
        <v>46313</v>
      </c>
      <c r="F145" t="inlineStr">
        <is>
          <t>JÖNKÖPINGS LÄN</t>
        </is>
      </c>
      <c r="G145" t="inlineStr">
        <is>
          <t>MULLSJÖ</t>
        </is>
      </c>
      <c r="I145" t="n">
        <v>1.8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47860-2023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45204</v>
      </c>
      <c r="E146" s="1" t="n">
        <v>46313</v>
      </c>
      <c r="F146" t="inlineStr">
        <is>
          <t>JÖNKÖPINGS LÄN</t>
        </is>
      </c>
      <c r="G146" t="inlineStr">
        <is>
          <t>MULLSJÖ</t>
        </is>
      </c>
      <c r="I146" t="n">
        <v>1.6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33296-2026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46246</v>
      </c>
      <c r="E147" s="1" t="n">
        <v>46313</v>
      </c>
      <c r="F147" t="inlineStr">
        <is>
          <t>JÖNKÖPINGS LÄN</t>
        </is>
      </c>
      <c r="G147" t="inlineStr">
        <is>
          <t>MULLSJÖ</t>
        </is>
      </c>
      <c r="I147" t="n">
        <v>3.5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23128-2024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45450</v>
      </c>
      <c r="E148" s="1" t="n">
        <v>46313</v>
      </c>
      <c r="F148" t="inlineStr">
        <is>
          <t>JÖNKÖPINGS LÄN</t>
        </is>
      </c>
      <c r="G148" t="inlineStr">
        <is>
          <t>MULLSJÖ</t>
        </is>
      </c>
      <c r="I148" t="n">
        <v>1.5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15189-2023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45016</v>
      </c>
      <c r="E149" s="1" t="n">
        <v>46313</v>
      </c>
      <c r="F149" t="inlineStr">
        <is>
          <t>JÖNKÖPINGS LÄN</t>
        </is>
      </c>
      <c r="G149" t="inlineStr">
        <is>
          <t>MULLSJÖ</t>
        </is>
      </c>
      <c r="I149" t="n">
        <v>1.4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40217-2026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46293</v>
      </c>
      <c r="E150" s="1" t="n">
        <v>46313</v>
      </c>
      <c r="F150" t="inlineStr">
        <is>
          <t>JÖNKÖPINGS LÄN</t>
        </is>
      </c>
      <c r="G150" t="inlineStr">
        <is>
          <t>MULLSJÖ</t>
        </is>
      </c>
      <c r="I150" t="n">
        <v>2.1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16571-2025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45752</v>
      </c>
      <c r="E151" s="1" t="n">
        <v>46313</v>
      </c>
      <c r="F151" t="inlineStr">
        <is>
          <t>JÖNKÖPINGS LÄN</t>
        </is>
      </c>
      <c r="G151" t="inlineStr">
        <is>
          <t>MULLSJÖ</t>
        </is>
      </c>
      <c r="I151" t="n">
        <v>0.7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58712-2023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45251</v>
      </c>
      <c r="E152" s="1" t="n">
        <v>46313</v>
      </c>
      <c r="F152" t="inlineStr">
        <is>
          <t>JÖNKÖPINGS LÄN</t>
        </is>
      </c>
      <c r="G152" t="inlineStr">
        <is>
          <t>MULLSJÖ</t>
        </is>
      </c>
      <c r="I152" t="n">
        <v>1.3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40617-2026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46295</v>
      </c>
      <c r="E153" s="1" t="n">
        <v>46313</v>
      </c>
      <c r="F153" t="inlineStr">
        <is>
          <t>JÖNKÖPINGS LÄN</t>
        </is>
      </c>
      <c r="G153" t="inlineStr">
        <is>
          <t>MULLSJÖ</t>
        </is>
      </c>
      <c r="I153" t="n">
        <v>0.9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16349-2022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44670</v>
      </c>
      <c r="E154" s="1" t="n">
        <v>46313</v>
      </c>
      <c r="F154" t="inlineStr">
        <is>
          <t>JÖNKÖPINGS LÄN</t>
        </is>
      </c>
      <c r="G154" t="inlineStr">
        <is>
          <t>MULLSJÖ</t>
        </is>
      </c>
      <c r="I154" t="n">
        <v>1.1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11281-2024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45371</v>
      </c>
      <c r="E155" s="1" t="n">
        <v>46313</v>
      </c>
      <c r="F155" t="inlineStr">
        <is>
          <t>JÖNKÖPINGS LÄN</t>
        </is>
      </c>
      <c r="G155" t="inlineStr">
        <is>
          <t>MULLSJÖ</t>
        </is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57423-2023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45246</v>
      </c>
      <c r="E156" s="1" t="n">
        <v>46313</v>
      </c>
      <c r="F156" t="inlineStr">
        <is>
          <t>JÖNKÖPINGS LÄN</t>
        </is>
      </c>
      <c r="G156" t="inlineStr">
        <is>
          <t>MULLSJÖ</t>
        </is>
      </c>
      <c r="I156" t="n">
        <v>0.7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64387-2023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45280</v>
      </c>
      <c r="E157" s="1" t="n">
        <v>46313</v>
      </c>
      <c r="F157" t="inlineStr">
        <is>
          <t>JÖNKÖPINGS LÄN</t>
        </is>
      </c>
      <c r="G157" t="inlineStr">
        <is>
          <t>MULLSJÖ</t>
        </is>
      </c>
      <c r="I157" t="n">
        <v>5.8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4252-2024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45324</v>
      </c>
      <c r="E158" s="1" t="n">
        <v>46313</v>
      </c>
      <c r="F158" t="inlineStr">
        <is>
          <t>JÖNKÖPINGS LÄN</t>
        </is>
      </c>
      <c r="G158" t="inlineStr">
        <is>
          <t>MULLSJÖ</t>
        </is>
      </c>
      <c r="I158" t="n">
        <v>1.5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4957-2022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44593</v>
      </c>
      <c r="E159" s="1" t="n">
        <v>46313</v>
      </c>
      <c r="F159" t="inlineStr">
        <is>
          <t>JÖNKÖPINGS LÄN</t>
        </is>
      </c>
      <c r="G159" t="inlineStr">
        <is>
          <t>MULLSJÖ</t>
        </is>
      </c>
      <c r="I159" t="n">
        <v>2.3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35115-2026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46260</v>
      </c>
      <c r="E160" s="1" t="n">
        <v>46313</v>
      </c>
      <c r="F160" t="inlineStr">
        <is>
          <t>JÖNKÖPINGS LÄN</t>
        </is>
      </c>
      <c r="G160" t="inlineStr">
        <is>
          <t>MULLSJÖ</t>
        </is>
      </c>
      <c r="I160" t="n">
        <v>4.4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37124-2026</t>
        </is>
      </c>
      <c r="B161" t="inlineStr">
        <is>
          <t>avverkningsanmälan</t>
        </is>
      </c>
      <c r="C161" t="inlineStr">
        <is>
          <t>Avverkning för annat ändamål</t>
        </is>
      </c>
      <c r="D161" s="1" t="n">
        <v>46274</v>
      </c>
      <c r="E161" s="1" t="n">
        <v>46313</v>
      </c>
      <c r="F161" t="inlineStr">
        <is>
          <t>JÖNKÖPINGS LÄN</t>
        </is>
      </c>
      <c r="G161" t="inlineStr">
        <is>
          <t>MULLSJÖ</t>
        </is>
      </c>
      <c r="I161" t="n">
        <v>3.6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29527-2024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45484</v>
      </c>
      <c r="E162" s="1" t="n">
        <v>46313</v>
      </c>
      <c r="F162" t="inlineStr">
        <is>
          <t>JÖNKÖPINGS LÄN</t>
        </is>
      </c>
      <c r="G162" t="inlineStr">
        <is>
          <t>MULLSJÖ</t>
        </is>
      </c>
      <c r="I162" t="n">
        <v>5.1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6209-2023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44964</v>
      </c>
      <c r="E163" s="1" t="n">
        <v>46313</v>
      </c>
      <c r="F163" t="inlineStr">
        <is>
          <t>JÖNKÖPINGS LÄN</t>
        </is>
      </c>
      <c r="G163" t="inlineStr">
        <is>
          <t>MULLSJÖ</t>
        </is>
      </c>
      <c r="I163" t="n">
        <v>1.2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24440-2025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45797</v>
      </c>
      <c r="E164" s="1" t="n">
        <v>46313</v>
      </c>
      <c r="F164" t="inlineStr">
        <is>
          <t>JÖNKÖPINGS LÄN</t>
        </is>
      </c>
      <c r="G164" t="inlineStr">
        <is>
          <t>MULLSJÖ</t>
        </is>
      </c>
      <c r="I164" t="n">
        <v>1.1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14033-2025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45740</v>
      </c>
      <c r="E165" s="1" t="n">
        <v>46313</v>
      </c>
      <c r="F165" t="inlineStr">
        <is>
          <t>JÖNKÖPINGS LÄN</t>
        </is>
      </c>
      <c r="G165" t="inlineStr">
        <is>
          <t>MULLSJÖ</t>
        </is>
      </c>
      <c r="I165" t="n">
        <v>2.7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24439-2025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45797</v>
      </c>
      <c r="E166" s="1" t="n">
        <v>46313</v>
      </c>
      <c r="F166" t="inlineStr">
        <is>
          <t>JÖNKÖPINGS LÄN</t>
        </is>
      </c>
      <c r="G166" t="inlineStr">
        <is>
          <t>MULLSJÖ</t>
        </is>
      </c>
      <c r="I166" t="n">
        <v>3.3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14029-2025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45740</v>
      </c>
      <c r="E167" s="1" t="n">
        <v>46313</v>
      </c>
      <c r="F167" t="inlineStr">
        <is>
          <t>JÖNKÖPINGS LÄN</t>
        </is>
      </c>
      <c r="G167" t="inlineStr">
        <is>
          <t>MULLSJÖ</t>
        </is>
      </c>
      <c r="I167" t="n">
        <v>1.1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25863-2025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45804</v>
      </c>
      <c r="E168" s="1" t="n">
        <v>46313</v>
      </c>
      <c r="F168" t="inlineStr">
        <is>
          <t>JÖNKÖPINGS LÄN</t>
        </is>
      </c>
      <c r="G168" t="inlineStr">
        <is>
          <t>MULLSJÖ</t>
        </is>
      </c>
      <c r="I168" t="n">
        <v>4.2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36412-2026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46268</v>
      </c>
      <c r="E169" s="1" t="n">
        <v>46313</v>
      </c>
      <c r="F169" t="inlineStr">
        <is>
          <t>JÖNKÖPINGS LÄN</t>
        </is>
      </c>
      <c r="G169" t="inlineStr">
        <is>
          <t>MULLSJÖ</t>
        </is>
      </c>
      <c r="I169" t="n">
        <v>2.8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36413-2026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46268</v>
      </c>
      <c r="E170" s="1" t="n">
        <v>46313</v>
      </c>
      <c r="F170" t="inlineStr">
        <is>
          <t>JÖNKÖPINGS LÄN</t>
        </is>
      </c>
      <c r="G170" t="inlineStr">
        <is>
          <t>MULLSJÖ</t>
        </is>
      </c>
      <c r="I170" t="n">
        <v>0.9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36414-2026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46268</v>
      </c>
      <c r="E171" s="1" t="n">
        <v>46313</v>
      </c>
      <c r="F171" t="inlineStr">
        <is>
          <t>JÖNKÖPINGS LÄN</t>
        </is>
      </c>
      <c r="G171" t="inlineStr">
        <is>
          <t>MULLSJÖ</t>
        </is>
      </c>
      <c r="I171" t="n">
        <v>3.3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28942-2025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45820</v>
      </c>
      <c r="E172" s="1" t="n">
        <v>46313</v>
      </c>
      <c r="F172" t="inlineStr">
        <is>
          <t>JÖNKÖPINGS LÄN</t>
        </is>
      </c>
      <c r="G172" t="inlineStr">
        <is>
          <t>MULLSJÖ</t>
        </is>
      </c>
      <c r="I172" t="n">
        <v>4.7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37131-2025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45875</v>
      </c>
      <c r="E173" s="1" t="n">
        <v>46313</v>
      </c>
      <c r="F173" t="inlineStr">
        <is>
          <t>JÖNKÖPINGS LÄN</t>
        </is>
      </c>
      <c r="G173" t="inlineStr">
        <is>
          <t>MULLSJÖ</t>
        </is>
      </c>
      <c r="I173" t="n">
        <v>2.4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37133-2025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45875</v>
      </c>
      <c r="E174" s="1" t="n">
        <v>46313</v>
      </c>
      <c r="F174" t="inlineStr">
        <is>
          <t>JÖNKÖPINGS LÄN</t>
        </is>
      </c>
      <c r="G174" t="inlineStr">
        <is>
          <t>MULLSJÖ</t>
        </is>
      </c>
      <c r="I174" t="n">
        <v>2.4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37427-2025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45877</v>
      </c>
      <c r="E175" s="1" t="n">
        <v>46313</v>
      </c>
      <c r="F175" t="inlineStr">
        <is>
          <t>JÖNKÖPINGS LÄN</t>
        </is>
      </c>
      <c r="G175" t="inlineStr">
        <is>
          <t>MULLSJÖ</t>
        </is>
      </c>
      <c r="I175" t="n">
        <v>2.8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37424-2025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45877</v>
      </c>
      <c r="E176" s="1" t="n">
        <v>46313</v>
      </c>
      <c r="F176" t="inlineStr">
        <is>
          <t>JÖNKÖPINGS LÄN</t>
        </is>
      </c>
      <c r="G176" t="inlineStr">
        <is>
          <t>MULLSJÖ</t>
        </is>
      </c>
      <c r="I176" t="n">
        <v>0.7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S 3179-2024</t>
        </is>
      </c>
      <c r="B177" t="inlineStr">
        <is>
          <t>samrådsanmälan</t>
        </is>
      </c>
      <c r="C177" t="inlineStr">
        <is>
          <t>Annan skogsbruksåtgärd</t>
        </is>
      </c>
      <c r="D177" s="1" t="n">
        <v>45524</v>
      </c>
      <c r="E177" s="1" t="n">
        <v>46313</v>
      </c>
      <c r="F177" t="inlineStr">
        <is>
          <t>JÖNKÖPINGS LÄN</t>
        </is>
      </c>
      <c r="G177" t="inlineStr">
        <is>
          <t>MULLSJÖ</t>
        </is>
      </c>
      <c r="I177" t="n">
        <v>0.4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S 4371-2024</t>
        </is>
      </c>
      <c r="B178" t="inlineStr">
        <is>
          <t>samrådsanmälan</t>
        </is>
      </c>
      <c r="C178" t="inlineStr">
        <is>
          <t>Annan skogsbruksåtgärd</t>
        </is>
      </c>
      <c r="D178" s="1" t="n">
        <v>45587</v>
      </c>
      <c r="E178" s="1" t="n">
        <v>46313</v>
      </c>
      <c r="F178" t="inlineStr">
        <is>
          <t>JÖNKÖPINGS LÄN</t>
        </is>
      </c>
      <c r="G178" t="inlineStr">
        <is>
          <t>MULLSJÖ</t>
        </is>
      </c>
      <c r="I178" t="n">
        <v>1.5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>
      <c r="A179" t="inlineStr">
        <is>
          <t>S 1255-2025</t>
        </is>
      </c>
      <c r="B179" t="inlineStr">
        <is>
          <t>samrådsanmälan</t>
        </is>
      </c>
      <c r="C179" t="inlineStr">
        <is>
          <t>Askåterföring</t>
        </is>
      </c>
      <c r="D179" s="1" t="n">
        <v>45763</v>
      </c>
      <c r="E179" s="1" t="n">
        <v>46313</v>
      </c>
      <c r="F179" t="inlineStr">
        <is>
          <t>JÖNKÖPINGS LÄN</t>
        </is>
      </c>
      <c r="G179" t="inlineStr">
        <is>
          <t>MULLSJÖ</t>
        </is>
      </c>
      <c r="I179" t="n">
        <v>35.7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2026-10-18T08:04:41Z</dcterms:created>
  <dcterms:modified xmlns:dcterms="http://purl.org/dc/terms/" xmlns:xsi="http://www.w3.org/2001/XMLSchema-instance" xsi:type="dcterms:W3CDTF">2026-10-18T08:04:41Z</dcterms:modified>
</cp:coreProperties>
</file>