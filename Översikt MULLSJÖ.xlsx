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8074-2020</t>
        </is>
      </c>
      <c r="B2" s="1" t="n">
        <v>43874</v>
      </c>
      <c r="C2" s="1" t="n">
        <v>45507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Spillkråka
Svartvit flugsnappare
Ärtsångare
Järnsparv
Trana</t>
        </is>
      </c>
      <c r="S2">
        <f>HYPERLINK("https://klasma.github.io/Logging_0642/artfynd/A 8074-2020 artfynd.xlsx", "A 8074-2020")</f>
        <v/>
      </c>
      <c r="T2">
        <f>HYPERLINK("https://klasma.github.io/Logging_0642/kartor/A 8074-2020 karta.png", "A 8074-2020")</f>
        <v/>
      </c>
      <c r="V2">
        <f>HYPERLINK("https://klasma.github.io/Logging_0642/klagomål/A 8074-2020 FSC-klagomål.docx", "A 8074-2020")</f>
        <v/>
      </c>
      <c r="W2">
        <f>HYPERLINK("https://klasma.github.io/Logging_0642/klagomålsmail/A 8074-2020 FSC-klagomål mail.docx", "A 8074-2020")</f>
        <v/>
      </c>
      <c r="X2">
        <f>HYPERLINK("https://klasma.github.io/Logging_0642/tillsyn/A 8074-2020 tillsynsbegäran.docx", "A 8074-2020")</f>
        <v/>
      </c>
      <c r="Y2">
        <f>HYPERLINK("https://klasma.github.io/Logging_0642/tillsynsmail/A 8074-2020 tillsynsbegäran mail.docx", "A 8074-2020")</f>
        <v/>
      </c>
      <c r="Z2">
        <f>HYPERLINK("https://klasma.github.io/Logging_0642/fåglar/A 8074-2020 prioriterade fågelarter.docx", "A 8074-2020")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45507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45507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34059-2019</t>
        </is>
      </c>
      <c r="B5" s="1" t="n">
        <v>43654</v>
      </c>
      <c r="C5" s="1" t="n">
        <v>45507</v>
      </c>
      <c r="D5" t="inlineStr">
        <is>
          <t>JÖNKÖPINGS LÄN</t>
        </is>
      </c>
      <c r="E5" t="inlineStr">
        <is>
          <t>MULLSJÖ</t>
        </is>
      </c>
      <c r="G5" t="n">
        <v>4.6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HYPERLINK("https://klasma.github.io/Logging_0642/artfynd/A 34059-2019 artfynd.xlsx", "A 34059-2019")</f>
        <v/>
      </c>
      <c r="T5">
        <f>HYPERLINK("https://klasma.github.io/Logging_0642/kartor/A 34059-2019 karta.png", "A 34059-2019")</f>
        <v/>
      </c>
      <c r="V5">
        <f>HYPERLINK("https://klasma.github.io/Logging_0642/klagomål/A 34059-2019 FSC-klagomål.docx", "A 34059-2019")</f>
        <v/>
      </c>
      <c r="W5">
        <f>HYPERLINK("https://klasma.github.io/Logging_0642/klagomålsmail/A 34059-2019 FSC-klagomål mail.docx", "A 34059-2019")</f>
        <v/>
      </c>
      <c r="X5">
        <f>HYPERLINK("https://klasma.github.io/Logging_0642/tillsyn/A 34059-2019 tillsynsbegäran.docx", "A 34059-2019")</f>
        <v/>
      </c>
      <c r="Y5">
        <f>HYPERLINK("https://klasma.github.io/Logging_0642/tillsynsmail/A 34059-2019 tillsynsbegäran mail.docx", "A 34059-2019")</f>
        <v/>
      </c>
      <c r="Z5">
        <f>HYPERLINK("https://klasma.github.io/Logging_0642/fåglar/A 34059-2019 prioriterade fågelarter.docx", "A 34059-2019")</f>
        <v/>
      </c>
    </row>
    <row r="6" ht="15" customHeight="1">
      <c r="A6" t="inlineStr">
        <is>
          <t>A 13949-2020</t>
        </is>
      </c>
      <c r="B6" s="1" t="n">
        <v>43906</v>
      </c>
      <c r="C6" s="1" t="n">
        <v>45507</v>
      </c>
      <c r="D6" t="inlineStr">
        <is>
          <t>JÖNKÖPINGS LÄN</t>
        </is>
      </c>
      <c r="E6" t="inlineStr">
        <is>
          <t>MULLSJÖ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Backsippa</t>
        </is>
      </c>
      <c r="S6">
        <f>HYPERLINK("https://klasma.github.io/Logging_0642/artfynd/A 13949-2020 artfynd.xlsx", "A 13949-2020")</f>
        <v/>
      </c>
      <c r="T6">
        <f>HYPERLINK("https://klasma.github.io/Logging_0642/kartor/A 13949-2020 karta.png", "A 13949-2020")</f>
        <v/>
      </c>
      <c r="V6">
        <f>HYPERLINK("https://klasma.github.io/Logging_0642/klagomål/A 13949-2020 FSC-klagomål.docx", "A 13949-2020")</f>
        <v/>
      </c>
      <c r="W6">
        <f>HYPERLINK("https://klasma.github.io/Logging_0642/klagomålsmail/A 13949-2020 FSC-klagomål mail.docx", "A 13949-2020")</f>
        <v/>
      </c>
      <c r="X6">
        <f>HYPERLINK("https://klasma.github.io/Logging_0642/tillsyn/A 13949-2020 tillsynsbegäran.docx", "A 13949-2020")</f>
        <v/>
      </c>
      <c r="Y6">
        <f>HYPERLINK("https://klasma.github.io/Logging_0642/tillsynsmail/A 13949-2020 tillsynsbegäran mail.docx", "A 13949-2020")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45507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15187-2023</t>
        </is>
      </c>
      <c r="B8" s="1" t="n">
        <v>45016</v>
      </c>
      <c r="C8" s="1" t="n">
        <v>45507</v>
      </c>
      <c r="D8" t="inlineStr">
        <is>
          <t>JÖNKÖPINGS LÄN</t>
        </is>
      </c>
      <c r="E8" t="inlineStr">
        <is>
          <t>MULLSJÖ</t>
        </is>
      </c>
      <c r="G8" t="n">
        <v>2.3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Slåtterfibbla</t>
        </is>
      </c>
      <c r="S8">
        <f>HYPERLINK("https://klasma.github.io/Logging_0642/artfynd/A 15187-2023 artfynd.xlsx", "A 15187-2023")</f>
        <v/>
      </c>
      <c r="T8">
        <f>HYPERLINK("https://klasma.github.io/Logging_0642/kartor/A 15187-2023 karta.png", "A 15187-2023")</f>
        <v/>
      </c>
      <c r="V8">
        <f>HYPERLINK("https://klasma.github.io/Logging_0642/klagomål/A 15187-2023 FSC-klagomål.docx", "A 15187-2023")</f>
        <v/>
      </c>
      <c r="W8">
        <f>HYPERLINK("https://klasma.github.io/Logging_0642/klagomålsmail/A 15187-2023 FSC-klagomål mail.docx", "A 15187-2023")</f>
        <v/>
      </c>
      <c r="X8">
        <f>HYPERLINK("https://klasma.github.io/Logging_0642/tillsyn/A 15187-2023 tillsynsbegäran.docx", "A 15187-2023")</f>
        <v/>
      </c>
      <c r="Y8">
        <f>HYPERLINK("https://klasma.github.io/Logging_0642/tillsynsmail/A 15187-2023 tillsynsbegäran mail.docx", "A 15187-2023")</f>
        <v/>
      </c>
    </row>
    <row r="9" ht="15" customHeight="1">
      <c r="A9" t="inlineStr">
        <is>
          <t>A 2493-2024</t>
        </is>
      </c>
      <c r="B9" s="1" t="n">
        <v>45313</v>
      </c>
      <c r="C9" s="1" t="n">
        <v>45507</v>
      </c>
      <c r="D9" t="inlineStr">
        <is>
          <t>JÖNKÖPINGS LÄN</t>
        </is>
      </c>
      <c r="E9" t="inlineStr">
        <is>
          <t>MULLSJÖ</t>
        </is>
      </c>
      <c r="G9" t="n">
        <v>4.4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Flagellkvastmossa</t>
        </is>
      </c>
      <c r="S9">
        <f>HYPERLINK("https://klasma.github.io/Logging_0642/artfynd/A 2493-2024 artfynd.xlsx", "A 2493-2024")</f>
        <v/>
      </c>
      <c r="T9">
        <f>HYPERLINK("https://klasma.github.io/Logging_0642/kartor/A 2493-2024 karta.png", "A 2493-2024")</f>
        <v/>
      </c>
      <c r="V9">
        <f>HYPERLINK("https://klasma.github.io/Logging_0642/klagomål/A 2493-2024 FSC-klagomål.docx", "A 2493-2024")</f>
        <v/>
      </c>
      <c r="W9">
        <f>HYPERLINK("https://klasma.github.io/Logging_0642/klagomålsmail/A 2493-2024 FSC-klagomål mail.docx", "A 2493-2024")</f>
        <v/>
      </c>
      <c r="X9">
        <f>HYPERLINK("https://klasma.github.io/Logging_0642/tillsyn/A 2493-2024 tillsynsbegäran.docx", "A 2493-2024")</f>
        <v/>
      </c>
      <c r="Y9">
        <f>HYPERLINK("https://klasma.github.io/Logging_0642/tillsynsmail/A 2493-2024 tillsynsbegäran mail.docx", "A 2493-2024")</f>
        <v/>
      </c>
    </row>
    <row r="10" ht="15" customHeight="1">
      <c r="A10" t="inlineStr">
        <is>
          <t>A 17410-2024</t>
        </is>
      </c>
      <c r="B10" s="1" t="n">
        <v>45414</v>
      </c>
      <c r="C10" s="1" t="n">
        <v>45507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23126-2024</t>
        </is>
      </c>
      <c r="B11" s="1" t="n">
        <v>45450</v>
      </c>
      <c r="C11" s="1" t="n">
        <v>45507</v>
      </c>
      <c r="D11" t="inlineStr">
        <is>
          <t>JÖNKÖPINGS LÄN</t>
        </is>
      </c>
      <c r="E11" t="inlineStr">
        <is>
          <t>MULLSJÖ</t>
        </is>
      </c>
      <c r="G11" t="n">
        <v>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HYPERLINK("https://klasma.github.io/Logging_0642/artfynd/A 23126-2024 artfynd.xlsx", "A 23126-2024")</f>
        <v/>
      </c>
      <c r="T11">
        <f>HYPERLINK("https://klasma.github.io/Logging_0642/kartor/A 23126-2024 karta.png", "A 23126-2024")</f>
        <v/>
      </c>
      <c r="V11">
        <f>HYPERLINK("https://klasma.github.io/Logging_0642/klagomål/A 23126-2024 FSC-klagomål.docx", "A 23126-2024")</f>
        <v/>
      </c>
      <c r="W11">
        <f>HYPERLINK("https://klasma.github.io/Logging_0642/klagomålsmail/A 23126-2024 FSC-klagomål mail.docx", "A 23126-2024")</f>
        <v/>
      </c>
      <c r="X11">
        <f>HYPERLINK("https://klasma.github.io/Logging_0642/tillsyn/A 23126-2024 tillsynsbegäran.docx", "A 23126-2024")</f>
        <v/>
      </c>
      <c r="Y11">
        <f>HYPERLINK("https://klasma.github.io/Logging_0642/tillsynsmail/A 23126-2024 tillsynsbegäran mail.docx", "A 23126-2024")</f>
        <v/>
      </c>
    </row>
    <row r="12" ht="15" customHeight="1">
      <c r="A12" t="inlineStr">
        <is>
          <t>A 26741-2024</t>
        </is>
      </c>
      <c r="B12" s="1" t="n">
        <v>45469</v>
      </c>
      <c r="C12" s="1" t="n">
        <v>45507</v>
      </c>
      <c r="D12" t="inlineStr">
        <is>
          <t>JÖNKÖPINGS LÄN</t>
        </is>
      </c>
      <c r="E12" t="inlineStr">
        <is>
          <t>MULLSJÖ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HYPERLINK("https://klasma.github.io/Logging_0642/artfynd/A 26741-2024 artfynd.xlsx", "A 26741-2024")</f>
        <v/>
      </c>
      <c r="T12">
        <f>HYPERLINK("https://klasma.github.io/Logging_0642/kartor/A 26741-2024 karta.png", "A 26741-2024")</f>
        <v/>
      </c>
      <c r="V12">
        <f>HYPERLINK("https://klasma.github.io/Logging_0642/klagomål/A 26741-2024 FSC-klagomål.docx", "A 26741-2024")</f>
        <v/>
      </c>
      <c r="W12">
        <f>HYPERLINK("https://klasma.github.io/Logging_0642/klagomålsmail/A 26741-2024 FSC-klagomål mail.docx", "A 26741-2024")</f>
        <v/>
      </c>
      <c r="X12">
        <f>HYPERLINK("https://klasma.github.io/Logging_0642/tillsyn/A 26741-2024 tillsynsbegäran.docx", "A 26741-2024")</f>
        <v/>
      </c>
      <c r="Y12">
        <f>HYPERLINK("https://klasma.github.io/Logging_0642/tillsynsmail/A 26741-2024 tillsynsbegäran mail.docx", "A 26741-2024")</f>
        <v/>
      </c>
    </row>
    <row r="13" ht="15" customHeight="1">
      <c r="A13" t="inlineStr">
        <is>
          <t>A 33226-2019</t>
        </is>
      </c>
      <c r="B13" s="1" t="n">
        <v>43650</v>
      </c>
      <c r="C13" s="1" t="n">
        <v>45507</v>
      </c>
      <c r="D13" t="inlineStr">
        <is>
          <t>JÖNKÖPINGS LÄN</t>
        </is>
      </c>
      <c r="E13" t="inlineStr">
        <is>
          <t>MULLSJÖ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33770-2019</t>
        </is>
      </c>
      <c r="B14" s="1" t="n">
        <v>43651</v>
      </c>
      <c r="C14" s="1" t="n">
        <v>45507</v>
      </c>
      <c r="D14" t="inlineStr">
        <is>
          <t>JÖNKÖPINGS LÄN</t>
        </is>
      </c>
      <c r="E14" t="inlineStr">
        <is>
          <t>MULLSJÖ</t>
        </is>
      </c>
      <c r="F14" t="inlineStr">
        <is>
          <t>Kyrkan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33775-2019</t>
        </is>
      </c>
      <c r="B15" s="1" t="n">
        <v>43651</v>
      </c>
      <c r="C15" s="1" t="n">
        <v>45507</v>
      </c>
      <c r="D15" t="inlineStr">
        <is>
          <t>JÖNKÖPINGS LÄN</t>
        </is>
      </c>
      <c r="E15" t="inlineStr">
        <is>
          <t>MULLSJÖ</t>
        </is>
      </c>
      <c r="F15" t="inlineStr">
        <is>
          <t>Kyrkan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34064-2019</t>
        </is>
      </c>
      <c r="B16" s="1" t="n">
        <v>43654</v>
      </c>
      <c r="C16" s="1" t="n">
        <v>45507</v>
      </c>
      <c r="D16" t="inlineStr">
        <is>
          <t>JÖNKÖPINGS LÄN</t>
        </is>
      </c>
      <c r="E16" t="inlineStr">
        <is>
          <t>MULLSJÖ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34193-2019</t>
        </is>
      </c>
      <c r="B17" s="1" t="n">
        <v>43655</v>
      </c>
      <c r="C17" s="1" t="n">
        <v>45507</v>
      </c>
      <c r="D17" t="inlineStr">
        <is>
          <t>JÖNKÖPINGS LÄN</t>
        </is>
      </c>
      <c r="E17" t="inlineStr">
        <is>
          <t>MULLSJÖ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34399-2019</t>
        </is>
      </c>
      <c r="B18" s="1" t="n">
        <v>43656</v>
      </c>
      <c r="C18" s="1" t="n">
        <v>45507</v>
      </c>
      <c r="D18" t="inlineStr">
        <is>
          <t>JÖNKÖPINGS LÄN</t>
        </is>
      </c>
      <c r="E18" t="inlineStr">
        <is>
          <t>MULLSJÖ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34507-2019</t>
        </is>
      </c>
      <c r="B19" s="1" t="n">
        <v>43657</v>
      </c>
      <c r="C19" s="1" t="n">
        <v>45507</v>
      </c>
      <c r="D19" t="inlineStr">
        <is>
          <t>JÖNKÖPINGS LÄN</t>
        </is>
      </c>
      <c r="E19" t="inlineStr">
        <is>
          <t>MULLSJÖ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34510-2019</t>
        </is>
      </c>
      <c r="B20" s="1" t="n">
        <v>43657</v>
      </c>
      <c r="C20" s="1" t="n">
        <v>45507</v>
      </c>
      <c r="D20" t="inlineStr">
        <is>
          <t>JÖNKÖPINGS LÄN</t>
        </is>
      </c>
      <c r="E20" t="inlineStr">
        <is>
          <t>MULLSJÖ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36799-2019</t>
        </is>
      </c>
      <c r="B21" s="1" t="n">
        <v>43672</v>
      </c>
      <c r="C21" s="1" t="n">
        <v>45507</v>
      </c>
      <c r="D21" t="inlineStr">
        <is>
          <t>JÖNKÖPINGS LÄN</t>
        </is>
      </c>
      <c r="E21" t="inlineStr">
        <is>
          <t>MULLSJÖ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40804-2019</t>
        </is>
      </c>
      <c r="B22" s="1" t="n">
        <v>43697</v>
      </c>
      <c r="C22" s="1" t="n">
        <v>45507</v>
      </c>
      <c r="D22" t="inlineStr">
        <is>
          <t>JÖNKÖPINGS LÄN</t>
        </is>
      </c>
      <c r="E22" t="inlineStr">
        <is>
          <t>MULLSJÖ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41428-2019</t>
        </is>
      </c>
      <c r="B23" s="1" t="n">
        <v>43698</v>
      </c>
      <c r="C23" s="1" t="n">
        <v>45507</v>
      </c>
      <c r="D23" t="inlineStr">
        <is>
          <t>JÖNKÖPINGS LÄN</t>
        </is>
      </c>
      <c r="E23" t="inlineStr">
        <is>
          <t>MULLSJÖ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46316-2019</t>
        </is>
      </c>
      <c r="B24" s="1" t="n">
        <v>43718</v>
      </c>
      <c r="C24" s="1" t="n">
        <v>45507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47707-2019</t>
        </is>
      </c>
      <c r="B25" s="1" t="n">
        <v>43724</v>
      </c>
      <c r="C25" s="1" t="n">
        <v>45507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260-2020</t>
        </is>
      </c>
      <c r="B26" s="1" t="n">
        <v>43836</v>
      </c>
      <c r="C26" s="1" t="n">
        <v>45507</v>
      </c>
      <c r="D26" t="inlineStr">
        <is>
          <t>JÖNKÖPINGS LÄN</t>
        </is>
      </c>
      <c r="E26" t="inlineStr">
        <is>
          <t>MULLSJÖ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31697-2020</t>
        </is>
      </c>
      <c r="B27" s="1" t="n">
        <v>44014</v>
      </c>
      <c r="C27" s="1" t="n">
        <v>45507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44266-2020</t>
        </is>
      </c>
      <c r="B28" s="1" t="n">
        <v>44084</v>
      </c>
      <c r="C28" s="1" t="n">
        <v>45507</v>
      </c>
      <c r="D28" t="inlineStr">
        <is>
          <t>JÖNKÖPINGS LÄN</t>
        </is>
      </c>
      <c r="E28" t="inlineStr">
        <is>
          <t>MULLSJÖ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44279-2020</t>
        </is>
      </c>
      <c r="B29" s="1" t="n">
        <v>44084</v>
      </c>
      <c r="C29" s="1" t="n">
        <v>45507</v>
      </c>
      <c r="D29" t="inlineStr">
        <is>
          <t>JÖNKÖPINGS LÄN</t>
        </is>
      </c>
      <c r="E29" t="inlineStr">
        <is>
          <t>MULLSJÖ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44488-2020</t>
        </is>
      </c>
      <c r="B30" s="1" t="n">
        <v>44084</v>
      </c>
      <c r="C30" s="1" t="n">
        <v>45507</v>
      </c>
      <c r="D30" t="inlineStr">
        <is>
          <t>JÖNKÖPINGS LÄN</t>
        </is>
      </c>
      <c r="E30" t="inlineStr">
        <is>
          <t>MULLSJÖ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44888-2020</t>
        </is>
      </c>
      <c r="B31" s="1" t="n">
        <v>44088</v>
      </c>
      <c r="C31" s="1" t="n">
        <v>45507</v>
      </c>
      <c r="D31" t="inlineStr">
        <is>
          <t>JÖNKÖPINGS LÄN</t>
        </is>
      </c>
      <c r="E31" t="inlineStr">
        <is>
          <t>MULLSJÖ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46746-2020</t>
        </is>
      </c>
      <c r="B32" s="1" t="n">
        <v>44095</v>
      </c>
      <c r="C32" s="1" t="n">
        <v>45507</v>
      </c>
      <c r="D32" t="inlineStr">
        <is>
          <t>JÖNKÖPINGS LÄN</t>
        </is>
      </c>
      <c r="E32" t="inlineStr">
        <is>
          <t>MULLSJÖ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46747-2020</t>
        </is>
      </c>
      <c r="B33" s="1" t="n">
        <v>44095</v>
      </c>
      <c r="C33" s="1" t="n">
        <v>45507</v>
      </c>
      <c r="D33" t="inlineStr">
        <is>
          <t>JÖNKÖPINGS LÄN</t>
        </is>
      </c>
      <c r="E33" t="inlineStr">
        <is>
          <t>MULLSJÖ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57424-2020</t>
        </is>
      </c>
      <c r="B34" s="1" t="n">
        <v>44140</v>
      </c>
      <c r="C34" s="1" t="n">
        <v>45507</v>
      </c>
      <c r="D34" t="inlineStr">
        <is>
          <t>JÖNKÖPINGS LÄN</t>
        </is>
      </c>
      <c r="E34" t="inlineStr">
        <is>
          <t>MULLSJÖ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57429-2020</t>
        </is>
      </c>
      <c r="B35" s="1" t="n">
        <v>44140</v>
      </c>
      <c r="C35" s="1" t="n">
        <v>45507</v>
      </c>
      <c r="D35" t="inlineStr">
        <is>
          <t>JÖNKÖPINGS LÄN</t>
        </is>
      </c>
      <c r="E35" t="inlineStr">
        <is>
          <t>MULLSJÖ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64865-2020</t>
        </is>
      </c>
      <c r="B36" s="1" t="n">
        <v>44171</v>
      </c>
      <c r="C36" s="1" t="n">
        <v>45507</v>
      </c>
      <c r="D36" t="inlineStr">
        <is>
          <t>JÖNKÖPINGS LÄN</t>
        </is>
      </c>
      <c r="E36" t="inlineStr">
        <is>
          <t>MULLSJÖ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64867-2020</t>
        </is>
      </c>
      <c r="B37" s="1" t="n">
        <v>44171</v>
      </c>
      <c r="C37" s="1" t="n">
        <v>45507</v>
      </c>
      <c r="D37" t="inlineStr">
        <is>
          <t>JÖNKÖPINGS LÄN</t>
        </is>
      </c>
      <c r="E37" t="inlineStr">
        <is>
          <t>MULLSJÖ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68837-2020</t>
        </is>
      </c>
      <c r="B38" s="1" t="n">
        <v>44187</v>
      </c>
      <c r="C38" s="1" t="n">
        <v>45507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1371-2021</t>
        </is>
      </c>
      <c r="B39" s="1" t="n">
        <v>44208</v>
      </c>
      <c r="C39" s="1" t="n">
        <v>45507</v>
      </c>
      <c r="D39" t="inlineStr">
        <is>
          <t>JÖNKÖPINGS LÄN</t>
        </is>
      </c>
      <c r="E39" t="inlineStr">
        <is>
          <t>MULLSJÖ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6980-2021</t>
        </is>
      </c>
      <c r="B40" s="1" t="n">
        <v>44237</v>
      </c>
      <c r="C40" s="1" t="n">
        <v>45507</v>
      </c>
      <c r="D40" t="inlineStr">
        <is>
          <t>JÖNKÖPINGS LÄN</t>
        </is>
      </c>
      <c r="E40" t="inlineStr">
        <is>
          <t>MULLSJÖ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7176-2021</t>
        </is>
      </c>
      <c r="B41" s="1" t="n">
        <v>44238</v>
      </c>
      <c r="C41" s="1" t="n">
        <v>45507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7174-2021</t>
        </is>
      </c>
      <c r="B42" s="1" t="n">
        <v>44238</v>
      </c>
      <c r="C42" s="1" t="n">
        <v>45507</v>
      </c>
      <c r="D42" t="inlineStr">
        <is>
          <t>JÖNKÖPINGS LÄN</t>
        </is>
      </c>
      <c r="E42" t="inlineStr">
        <is>
          <t>MULLSJÖ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11075-2021</t>
        </is>
      </c>
      <c r="B43" s="1" t="n">
        <v>44260</v>
      </c>
      <c r="C43" s="1" t="n">
        <v>45507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13099-2021</t>
        </is>
      </c>
      <c r="B44" s="1" t="n">
        <v>44272</v>
      </c>
      <c r="C44" s="1" t="n">
        <v>45507</v>
      </c>
      <c r="D44" t="inlineStr">
        <is>
          <t>JÖNKÖPINGS LÄN</t>
        </is>
      </c>
      <c r="E44" t="inlineStr">
        <is>
          <t>MULLSJÖ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13101-2021</t>
        </is>
      </c>
      <c r="B45" s="1" t="n">
        <v>44272</v>
      </c>
      <c r="C45" s="1" t="n">
        <v>45507</v>
      </c>
      <c r="D45" t="inlineStr">
        <is>
          <t>JÖNKÖPINGS LÄN</t>
        </is>
      </c>
      <c r="E45" t="inlineStr">
        <is>
          <t>MULLSJÖ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13095-2021</t>
        </is>
      </c>
      <c r="B46" s="1" t="n">
        <v>44272</v>
      </c>
      <c r="C46" s="1" t="n">
        <v>45507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15468-2021</t>
        </is>
      </c>
      <c r="B47" s="1" t="n">
        <v>44285</v>
      </c>
      <c r="C47" s="1" t="n">
        <v>45507</v>
      </c>
      <c r="D47" t="inlineStr">
        <is>
          <t>JÖNKÖPINGS LÄN</t>
        </is>
      </c>
      <c r="E47" t="inlineStr">
        <is>
          <t>MULLSJÖ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22110-2021</t>
        </is>
      </c>
      <c r="B48" s="1" t="n">
        <v>44323</v>
      </c>
      <c r="C48" s="1" t="n">
        <v>45507</v>
      </c>
      <c r="D48" t="inlineStr">
        <is>
          <t>JÖNKÖPINGS LÄN</t>
        </is>
      </c>
      <c r="E48" t="inlineStr">
        <is>
          <t>MULLSJÖ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24816-2021</t>
        </is>
      </c>
      <c r="B49" s="1" t="n">
        <v>44340</v>
      </c>
      <c r="C49" s="1" t="n">
        <v>45507</v>
      </c>
      <c r="D49" t="inlineStr">
        <is>
          <t>JÖNKÖPINGS LÄN</t>
        </is>
      </c>
      <c r="E49" t="inlineStr">
        <is>
          <t>MULLSJÖ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24817-2021</t>
        </is>
      </c>
      <c r="B50" s="1" t="n">
        <v>44340</v>
      </c>
      <c r="C50" s="1" t="n">
        <v>45507</v>
      </c>
      <c r="D50" t="inlineStr">
        <is>
          <t>JÖNKÖPINGS LÄN</t>
        </is>
      </c>
      <c r="E50" t="inlineStr">
        <is>
          <t>MULLSJÖ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32880-2021</t>
        </is>
      </c>
      <c r="B51" s="1" t="n">
        <v>44375</v>
      </c>
      <c r="C51" s="1" t="n">
        <v>45507</v>
      </c>
      <c r="D51" t="inlineStr">
        <is>
          <t>JÖNKÖPINGS LÄN</t>
        </is>
      </c>
      <c r="E51" t="inlineStr">
        <is>
          <t>MULLSJÖ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36580-2021</t>
        </is>
      </c>
      <c r="B52" s="1" t="n">
        <v>44391</v>
      </c>
      <c r="C52" s="1" t="n">
        <v>45507</v>
      </c>
      <c r="D52" t="inlineStr">
        <is>
          <t>JÖNKÖPINGS LÄN</t>
        </is>
      </c>
      <c r="E52" t="inlineStr">
        <is>
          <t>MULLSJÖ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38996-2021</t>
        </is>
      </c>
      <c r="B53" s="1" t="n">
        <v>44412</v>
      </c>
      <c r="C53" s="1" t="n">
        <v>45507</v>
      </c>
      <c r="D53" t="inlineStr">
        <is>
          <t>JÖNKÖPINGS LÄN</t>
        </is>
      </c>
      <c r="E53" t="inlineStr">
        <is>
          <t>MULLSJÖ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40267-2021</t>
        </is>
      </c>
      <c r="B54" s="1" t="n">
        <v>44419</v>
      </c>
      <c r="C54" s="1" t="n">
        <v>45507</v>
      </c>
      <c r="D54" t="inlineStr">
        <is>
          <t>JÖNKÖPINGS LÄN</t>
        </is>
      </c>
      <c r="E54" t="inlineStr">
        <is>
          <t>MULLSJÖ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40869-2021</t>
        </is>
      </c>
      <c r="B55" s="1" t="n">
        <v>44421</v>
      </c>
      <c r="C55" s="1" t="n">
        <v>45507</v>
      </c>
      <c r="D55" t="inlineStr">
        <is>
          <t>JÖNKÖPINGS LÄN</t>
        </is>
      </c>
      <c r="E55" t="inlineStr">
        <is>
          <t>MULLSJÖ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42852-2021</t>
        </is>
      </c>
      <c r="B56" s="1" t="n">
        <v>44430</v>
      </c>
      <c r="C56" s="1" t="n">
        <v>45507</v>
      </c>
      <c r="D56" t="inlineStr">
        <is>
          <t>JÖNKÖPINGS LÄN</t>
        </is>
      </c>
      <c r="E56" t="inlineStr">
        <is>
          <t>MULLSJÖ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43594-2021</t>
        </is>
      </c>
      <c r="B57" s="1" t="n">
        <v>44433</v>
      </c>
      <c r="C57" s="1" t="n">
        <v>45507</v>
      </c>
      <c r="D57" t="inlineStr">
        <is>
          <t>JÖNKÖPINGS LÄN</t>
        </is>
      </c>
      <c r="E57" t="inlineStr">
        <is>
          <t>MULLSJÖ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50161-2021</t>
        </is>
      </c>
      <c r="B58" s="1" t="n">
        <v>44456</v>
      </c>
      <c r="C58" s="1" t="n">
        <v>45507</v>
      </c>
      <c r="D58" t="inlineStr">
        <is>
          <t>JÖNKÖPINGS LÄN</t>
        </is>
      </c>
      <c r="E58" t="inlineStr">
        <is>
          <t>MULLSJÖ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53664-2021</t>
        </is>
      </c>
      <c r="B59" s="1" t="n">
        <v>44469</v>
      </c>
      <c r="C59" s="1" t="n">
        <v>45507</v>
      </c>
      <c r="D59" t="inlineStr">
        <is>
          <t>JÖNKÖPINGS LÄN</t>
        </is>
      </c>
      <c r="E59" t="inlineStr">
        <is>
          <t>MULLSJÖ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55888-2021</t>
        </is>
      </c>
      <c r="B60" s="1" t="n">
        <v>44476</v>
      </c>
      <c r="C60" s="1" t="n">
        <v>45507</v>
      </c>
      <c r="D60" t="inlineStr">
        <is>
          <t>JÖNKÖPINGS LÄN</t>
        </is>
      </c>
      <c r="E60" t="inlineStr">
        <is>
          <t>MULLSJÖ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55897-2021</t>
        </is>
      </c>
      <c r="B61" s="1" t="n">
        <v>44476</v>
      </c>
      <c r="C61" s="1" t="n">
        <v>45507</v>
      </c>
      <c r="D61" t="inlineStr">
        <is>
          <t>JÖNKÖPINGS LÄN</t>
        </is>
      </c>
      <c r="E61" t="inlineStr">
        <is>
          <t>MULLSJÖ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55896-2021</t>
        </is>
      </c>
      <c r="B62" s="1" t="n">
        <v>44476</v>
      </c>
      <c r="C62" s="1" t="n">
        <v>45507</v>
      </c>
      <c r="D62" t="inlineStr">
        <is>
          <t>JÖNKÖPINGS LÄN</t>
        </is>
      </c>
      <c r="E62" t="inlineStr">
        <is>
          <t>MULLSJÖ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57229-2021</t>
        </is>
      </c>
      <c r="B63" s="1" t="n">
        <v>44483</v>
      </c>
      <c r="C63" s="1" t="n">
        <v>45507</v>
      </c>
      <c r="D63" t="inlineStr">
        <is>
          <t>JÖNKÖPINGS LÄN</t>
        </is>
      </c>
      <c r="E63" t="inlineStr">
        <is>
          <t>MULLSJÖ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62452-2021</t>
        </is>
      </c>
      <c r="B64" s="1" t="n">
        <v>44503</v>
      </c>
      <c r="C64" s="1" t="n">
        <v>45507</v>
      </c>
      <c r="D64" t="inlineStr">
        <is>
          <t>JÖNKÖPINGS LÄN</t>
        </is>
      </c>
      <c r="E64" t="inlineStr">
        <is>
          <t>MULLSJÖ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65495-2021</t>
        </is>
      </c>
      <c r="B65" s="1" t="n">
        <v>44516</v>
      </c>
      <c r="C65" s="1" t="n">
        <v>45507</v>
      </c>
      <c r="D65" t="inlineStr">
        <is>
          <t>JÖNKÖPINGS LÄN</t>
        </is>
      </c>
      <c r="E65" t="inlineStr">
        <is>
          <t>MULLSJÖ</t>
        </is>
      </c>
      <c r="F65" t="inlineStr">
        <is>
          <t>Kyrkan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65493-2021</t>
        </is>
      </c>
      <c r="B66" s="1" t="n">
        <v>44516</v>
      </c>
      <c r="C66" s="1" t="n">
        <v>45507</v>
      </c>
      <c r="D66" t="inlineStr">
        <is>
          <t>JÖNKÖPINGS LÄN</t>
        </is>
      </c>
      <c r="E66" t="inlineStr">
        <is>
          <t>MULLSJÖ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71048-2021</t>
        </is>
      </c>
      <c r="B67" s="1" t="n">
        <v>44538</v>
      </c>
      <c r="C67" s="1" t="n">
        <v>45507</v>
      </c>
      <c r="D67" t="inlineStr">
        <is>
          <t>JÖNKÖPINGS LÄN</t>
        </is>
      </c>
      <c r="E67" t="inlineStr">
        <is>
          <t>MULLSJÖ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4957-2022</t>
        </is>
      </c>
      <c r="B68" s="1" t="n">
        <v>44593</v>
      </c>
      <c r="C68" s="1" t="n">
        <v>45507</v>
      </c>
      <c r="D68" t="inlineStr">
        <is>
          <t>JÖNKÖPINGS LÄN</t>
        </is>
      </c>
      <c r="E68" t="inlineStr">
        <is>
          <t>MULLSJÖ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7654-2022</t>
        </is>
      </c>
      <c r="B69" s="1" t="n">
        <v>44607</v>
      </c>
      <c r="C69" s="1" t="n">
        <v>45507</v>
      </c>
      <c r="D69" t="inlineStr">
        <is>
          <t>JÖNKÖPINGS LÄN</t>
        </is>
      </c>
      <c r="E69" t="inlineStr">
        <is>
          <t>MULLSJÖ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9903-2022</t>
        </is>
      </c>
      <c r="B70" s="1" t="n">
        <v>44620</v>
      </c>
      <c r="C70" s="1" t="n">
        <v>45507</v>
      </c>
      <c r="D70" t="inlineStr">
        <is>
          <t>JÖNKÖPINGS LÄN</t>
        </is>
      </c>
      <c r="E70" t="inlineStr">
        <is>
          <t>MULLSJÖ</t>
        </is>
      </c>
      <c r="G70" t="n">
        <v>16.8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13811-2022</t>
        </is>
      </c>
      <c r="B71" s="1" t="n">
        <v>44649</v>
      </c>
      <c r="C71" s="1" t="n">
        <v>45507</v>
      </c>
      <c r="D71" t="inlineStr">
        <is>
          <t>JÖNKÖPINGS LÄN</t>
        </is>
      </c>
      <c r="E71" t="inlineStr">
        <is>
          <t>MULLSJÖ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14742-2022</t>
        </is>
      </c>
      <c r="B72" s="1" t="n">
        <v>44656</v>
      </c>
      <c r="C72" s="1" t="n">
        <v>45507</v>
      </c>
      <c r="D72" t="inlineStr">
        <is>
          <t>JÖNKÖPINGS LÄN</t>
        </is>
      </c>
      <c r="E72" t="inlineStr">
        <is>
          <t>MULLSJÖ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14740-2022</t>
        </is>
      </c>
      <c r="B73" s="1" t="n">
        <v>44656</v>
      </c>
      <c r="C73" s="1" t="n">
        <v>45507</v>
      </c>
      <c r="D73" t="inlineStr">
        <is>
          <t>JÖNKÖPINGS LÄN</t>
        </is>
      </c>
      <c r="E73" t="inlineStr">
        <is>
          <t>MULLSJÖ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14745-2022</t>
        </is>
      </c>
      <c r="B74" s="1" t="n">
        <v>44656</v>
      </c>
      <c r="C74" s="1" t="n">
        <v>45507</v>
      </c>
      <c r="D74" t="inlineStr">
        <is>
          <t>JÖNKÖPINGS LÄN</t>
        </is>
      </c>
      <c r="E74" t="inlineStr">
        <is>
          <t>MULLSJÖ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14743-2022</t>
        </is>
      </c>
      <c r="B75" s="1" t="n">
        <v>44656</v>
      </c>
      <c r="C75" s="1" t="n">
        <v>45507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14748-2022</t>
        </is>
      </c>
      <c r="B76" s="1" t="n">
        <v>44656</v>
      </c>
      <c r="C76" s="1" t="n">
        <v>45507</v>
      </c>
      <c r="D76" t="inlineStr">
        <is>
          <t>JÖNKÖPINGS LÄN</t>
        </is>
      </c>
      <c r="E76" t="inlineStr">
        <is>
          <t>MULLSJÖ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16133-2022</t>
        </is>
      </c>
      <c r="B77" s="1" t="n">
        <v>44665</v>
      </c>
      <c r="C77" s="1" t="n">
        <v>45507</v>
      </c>
      <c r="D77" t="inlineStr">
        <is>
          <t>JÖNKÖPINGS LÄN</t>
        </is>
      </c>
      <c r="E77" t="inlineStr">
        <is>
          <t>MULLSJÖ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16350-2022</t>
        </is>
      </c>
      <c r="B78" s="1" t="n">
        <v>44670</v>
      </c>
      <c r="C78" s="1" t="n">
        <v>45507</v>
      </c>
      <c r="D78" t="inlineStr">
        <is>
          <t>JÖNKÖPINGS LÄN</t>
        </is>
      </c>
      <c r="E78" t="inlineStr">
        <is>
          <t>MULLSJÖ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16349-2022</t>
        </is>
      </c>
      <c r="B79" s="1" t="n">
        <v>44670</v>
      </c>
      <c r="C79" s="1" t="n">
        <v>45507</v>
      </c>
      <c r="D79" t="inlineStr">
        <is>
          <t>JÖNKÖPINGS LÄN</t>
        </is>
      </c>
      <c r="E79" t="inlineStr">
        <is>
          <t>MULLSJÖ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17822-2022</t>
        </is>
      </c>
      <c r="B80" s="1" t="n">
        <v>44683</v>
      </c>
      <c r="C80" s="1" t="n">
        <v>45507</v>
      </c>
      <c r="D80" t="inlineStr">
        <is>
          <t>JÖNKÖPINGS LÄN</t>
        </is>
      </c>
      <c r="E80" t="inlineStr">
        <is>
          <t>MULLSJÖ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17880-2022</t>
        </is>
      </c>
      <c r="B81" s="1" t="n">
        <v>44683</v>
      </c>
      <c r="C81" s="1" t="n">
        <v>45507</v>
      </c>
      <c r="D81" t="inlineStr">
        <is>
          <t>JÖNKÖPINGS LÄN</t>
        </is>
      </c>
      <c r="E81" t="inlineStr">
        <is>
          <t>MULLSJÖ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20671-2022</t>
        </is>
      </c>
      <c r="B82" s="1" t="n">
        <v>44700</v>
      </c>
      <c r="C82" s="1" t="n">
        <v>45507</v>
      </c>
      <c r="D82" t="inlineStr">
        <is>
          <t>JÖNKÖPINGS LÄN</t>
        </is>
      </c>
      <c r="E82" t="inlineStr">
        <is>
          <t>MULLSJÖ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21687-2022</t>
        </is>
      </c>
      <c r="B83" s="1" t="n">
        <v>44707</v>
      </c>
      <c r="C83" s="1" t="n">
        <v>45507</v>
      </c>
      <c r="D83" t="inlineStr">
        <is>
          <t>JÖNKÖPINGS LÄN</t>
        </is>
      </c>
      <c r="E83" t="inlineStr">
        <is>
          <t>MULLSJÖ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21691-2022</t>
        </is>
      </c>
      <c r="B84" s="1" t="n">
        <v>44707</v>
      </c>
      <c r="C84" s="1" t="n">
        <v>45507</v>
      </c>
      <c r="D84" t="inlineStr">
        <is>
          <t>JÖNKÖPINGS LÄN</t>
        </is>
      </c>
      <c r="E84" t="inlineStr">
        <is>
          <t>MULLSJÖ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21693-2022</t>
        </is>
      </c>
      <c r="B85" s="1" t="n">
        <v>44707</v>
      </c>
      <c r="C85" s="1" t="n">
        <v>45507</v>
      </c>
      <c r="D85" t="inlineStr">
        <is>
          <t>JÖNKÖPINGS LÄN</t>
        </is>
      </c>
      <c r="E85" t="inlineStr">
        <is>
          <t>MULLSJÖ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27549-2022</t>
        </is>
      </c>
      <c r="B86" s="1" t="n">
        <v>44742</v>
      </c>
      <c r="C86" s="1" t="n">
        <v>45507</v>
      </c>
      <c r="D86" t="inlineStr">
        <is>
          <t>JÖNKÖPINGS LÄN</t>
        </is>
      </c>
      <c r="E86" t="inlineStr">
        <is>
          <t>MULLSJÖ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27760-2022</t>
        </is>
      </c>
      <c r="B87" s="1" t="n">
        <v>44743</v>
      </c>
      <c r="C87" s="1" t="n">
        <v>45507</v>
      </c>
      <c r="D87" t="inlineStr">
        <is>
          <t>JÖNKÖPINGS LÄN</t>
        </is>
      </c>
      <c r="E87" t="inlineStr">
        <is>
          <t>MULLSJÖ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34914-2022</t>
        </is>
      </c>
      <c r="B88" s="1" t="n">
        <v>44796</v>
      </c>
      <c r="C88" s="1" t="n">
        <v>45507</v>
      </c>
      <c r="D88" t="inlineStr">
        <is>
          <t>JÖNKÖPINGS LÄN</t>
        </is>
      </c>
      <c r="E88" t="inlineStr">
        <is>
          <t>MULLSJÖ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39354-2022</t>
        </is>
      </c>
      <c r="B89" s="1" t="n">
        <v>44817</v>
      </c>
      <c r="C89" s="1" t="n">
        <v>45507</v>
      </c>
      <c r="D89" t="inlineStr">
        <is>
          <t>JÖNKÖPINGS LÄN</t>
        </is>
      </c>
      <c r="E89" t="inlineStr">
        <is>
          <t>MULLSJÖ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39353-2022</t>
        </is>
      </c>
      <c r="B90" s="1" t="n">
        <v>44817</v>
      </c>
      <c r="C90" s="1" t="n">
        <v>45507</v>
      </c>
      <c r="D90" t="inlineStr">
        <is>
          <t>JÖNKÖPINGS LÄN</t>
        </is>
      </c>
      <c r="E90" t="inlineStr">
        <is>
          <t>MULLSJÖ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42872-2022</t>
        </is>
      </c>
      <c r="B91" s="1" t="n">
        <v>44832</v>
      </c>
      <c r="C91" s="1" t="n">
        <v>45507</v>
      </c>
      <c r="D91" t="inlineStr">
        <is>
          <t>JÖNKÖPINGS LÄN</t>
        </is>
      </c>
      <c r="E91" t="inlineStr">
        <is>
          <t>MULLSJÖ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46006-2022</t>
        </is>
      </c>
      <c r="B92" s="1" t="n">
        <v>44846</v>
      </c>
      <c r="C92" s="1" t="n">
        <v>45507</v>
      </c>
      <c r="D92" t="inlineStr">
        <is>
          <t>JÖNKÖPINGS LÄN</t>
        </is>
      </c>
      <c r="E92" t="inlineStr">
        <is>
          <t>MULLSJÖ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46366-2022</t>
        </is>
      </c>
      <c r="B93" s="1" t="n">
        <v>44848</v>
      </c>
      <c r="C93" s="1" t="n">
        <v>45507</v>
      </c>
      <c r="D93" t="inlineStr">
        <is>
          <t>JÖNKÖPINGS LÄN</t>
        </is>
      </c>
      <c r="E93" t="inlineStr">
        <is>
          <t>MULLSJÖ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47687-2022</t>
        </is>
      </c>
      <c r="B94" s="1" t="n">
        <v>44854</v>
      </c>
      <c r="C94" s="1" t="n">
        <v>45507</v>
      </c>
      <c r="D94" t="inlineStr">
        <is>
          <t>JÖNKÖPINGS LÄN</t>
        </is>
      </c>
      <c r="E94" t="inlineStr">
        <is>
          <t>MULLSJÖ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47692-2022</t>
        </is>
      </c>
      <c r="B95" s="1" t="n">
        <v>44854</v>
      </c>
      <c r="C95" s="1" t="n">
        <v>45507</v>
      </c>
      <c r="D95" t="inlineStr">
        <is>
          <t>JÖNKÖPINGS LÄN</t>
        </is>
      </c>
      <c r="E95" t="inlineStr">
        <is>
          <t>MULLSJÖ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47645-2022</t>
        </is>
      </c>
      <c r="B96" s="1" t="n">
        <v>44854</v>
      </c>
      <c r="C96" s="1" t="n">
        <v>45507</v>
      </c>
      <c r="D96" t="inlineStr">
        <is>
          <t>JÖNKÖPINGS LÄN</t>
        </is>
      </c>
      <c r="E96" t="inlineStr">
        <is>
          <t>MULLSJÖ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52385-2022</t>
        </is>
      </c>
      <c r="B97" s="1" t="n">
        <v>44869</v>
      </c>
      <c r="C97" s="1" t="n">
        <v>45507</v>
      </c>
      <c r="D97" t="inlineStr">
        <is>
          <t>JÖNKÖPINGS LÄN</t>
        </is>
      </c>
      <c r="E97" t="inlineStr">
        <is>
          <t>MULLSJÖ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52058-2022</t>
        </is>
      </c>
      <c r="B98" s="1" t="n">
        <v>44873</v>
      </c>
      <c r="C98" s="1" t="n">
        <v>45507</v>
      </c>
      <c r="D98" t="inlineStr">
        <is>
          <t>JÖNKÖPINGS LÄN</t>
        </is>
      </c>
      <c r="E98" t="inlineStr">
        <is>
          <t>MULLSJÖ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52062-2022</t>
        </is>
      </c>
      <c r="B99" s="1" t="n">
        <v>44873</v>
      </c>
      <c r="C99" s="1" t="n">
        <v>45507</v>
      </c>
      <c r="D99" t="inlineStr">
        <is>
          <t>JÖNKÖPINGS LÄN</t>
        </is>
      </c>
      <c r="E99" t="inlineStr">
        <is>
          <t>MULLSJÖ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56145-2022</t>
        </is>
      </c>
      <c r="B100" s="1" t="n">
        <v>44889</v>
      </c>
      <c r="C100" s="1" t="n">
        <v>45507</v>
      </c>
      <c r="D100" t="inlineStr">
        <is>
          <t>JÖNKÖPINGS LÄN</t>
        </is>
      </c>
      <c r="E100" t="inlineStr">
        <is>
          <t>MULLSJÖ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56244-2022</t>
        </is>
      </c>
      <c r="B101" s="1" t="n">
        <v>44890</v>
      </c>
      <c r="C101" s="1" t="n">
        <v>45507</v>
      </c>
      <c r="D101" t="inlineStr">
        <is>
          <t>JÖNKÖPINGS LÄN</t>
        </is>
      </c>
      <c r="E101" t="inlineStr">
        <is>
          <t>MULLSJÖ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56287-2022</t>
        </is>
      </c>
      <c r="B102" s="1" t="n">
        <v>44890</v>
      </c>
      <c r="C102" s="1" t="n">
        <v>45507</v>
      </c>
      <c r="D102" t="inlineStr">
        <is>
          <t>JÖNKÖPINGS LÄN</t>
        </is>
      </c>
      <c r="E102" t="inlineStr">
        <is>
          <t>MULLSJÖ</t>
        </is>
      </c>
      <c r="F102" t="inlineStr">
        <is>
          <t>Kyrkan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57025-2022</t>
        </is>
      </c>
      <c r="B103" s="1" t="n">
        <v>44895</v>
      </c>
      <c r="C103" s="1" t="n">
        <v>45507</v>
      </c>
      <c r="D103" t="inlineStr">
        <is>
          <t>JÖNKÖPINGS LÄN</t>
        </is>
      </c>
      <c r="E103" t="inlineStr">
        <is>
          <t>MULLSJÖ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57500-2022</t>
        </is>
      </c>
      <c r="B104" s="1" t="n">
        <v>44896</v>
      </c>
      <c r="C104" s="1" t="n">
        <v>45507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57624-2022</t>
        </is>
      </c>
      <c r="B105" s="1" t="n">
        <v>44897</v>
      </c>
      <c r="C105" s="1" t="n">
        <v>45507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57780-2022</t>
        </is>
      </c>
      <c r="B106" s="1" t="n">
        <v>44897</v>
      </c>
      <c r="C106" s="1" t="n">
        <v>45507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62232-2022</t>
        </is>
      </c>
      <c r="B107" s="1" t="n">
        <v>44922</v>
      </c>
      <c r="C107" s="1" t="n">
        <v>45507</v>
      </c>
      <c r="D107" t="inlineStr">
        <is>
          <t>JÖNKÖPINGS LÄN</t>
        </is>
      </c>
      <c r="E107" t="inlineStr">
        <is>
          <t>MULLSJÖ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653-2023</t>
        </is>
      </c>
      <c r="B108" s="1" t="n">
        <v>44930</v>
      </c>
      <c r="C108" s="1" t="n">
        <v>45507</v>
      </c>
      <c r="D108" t="inlineStr">
        <is>
          <t>JÖNKÖPINGS LÄN</t>
        </is>
      </c>
      <c r="E108" t="inlineStr">
        <is>
          <t>MULLSJÖ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1794-2023</t>
        </is>
      </c>
      <c r="B109" s="1" t="n">
        <v>44938</v>
      </c>
      <c r="C109" s="1" t="n">
        <v>45507</v>
      </c>
      <c r="D109" t="inlineStr">
        <is>
          <t>JÖNKÖPINGS LÄN</t>
        </is>
      </c>
      <c r="E109" t="inlineStr">
        <is>
          <t>MULLSJÖ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3946-2023</t>
        </is>
      </c>
      <c r="B110" s="1" t="n">
        <v>44952</v>
      </c>
      <c r="C110" s="1" t="n">
        <v>45507</v>
      </c>
      <c r="D110" t="inlineStr">
        <is>
          <t>JÖNKÖPINGS LÄN</t>
        </is>
      </c>
      <c r="E110" t="inlineStr">
        <is>
          <t>MULLSJÖ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4355-2023</t>
        </is>
      </c>
      <c r="B111" s="1" t="n">
        <v>44954</v>
      </c>
      <c r="C111" s="1" t="n">
        <v>45507</v>
      </c>
      <c r="D111" t="inlineStr">
        <is>
          <t>JÖNKÖPINGS LÄN</t>
        </is>
      </c>
      <c r="E111" t="inlineStr">
        <is>
          <t>MULLSJÖ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4356-2023</t>
        </is>
      </c>
      <c r="B112" s="1" t="n">
        <v>44954</v>
      </c>
      <c r="C112" s="1" t="n">
        <v>45507</v>
      </c>
      <c r="D112" t="inlineStr">
        <is>
          <t>JÖNKÖPINGS LÄN</t>
        </is>
      </c>
      <c r="E112" t="inlineStr">
        <is>
          <t>MULLSJÖ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4359-2023</t>
        </is>
      </c>
      <c r="B113" s="1" t="n">
        <v>44954</v>
      </c>
      <c r="C113" s="1" t="n">
        <v>45507</v>
      </c>
      <c r="D113" t="inlineStr">
        <is>
          <t>JÖNKÖPINGS LÄN</t>
        </is>
      </c>
      <c r="E113" t="inlineStr">
        <is>
          <t>MULLSJÖ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6200-2023</t>
        </is>
      </c>
      <c r="B114" s="1" t="n">
        <v>44964</v>
      </c>
      <c r="C114" s="1" t="n">
        <v>45507</v>
      </c>
      <c r="D114" t="inlineStr">
        <is>
          <t>JÖNKÖPINGS LÄN</t>
        </is>
      </c>
      <c r="E114" t="inlineStr">
        <is>
          <t>MULLSJÖ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6206-2023</t>
        </is>
      </c>
      <c r="B115" s="1" t="n">
        <v>44964</v>
      </c>
      <c r="C115" s="1" t="n">
        <v>45507</v>
      </c>
      <c r="D115" t="inlineStr">
        <is>
          <t>JÖNKÖPINGS LÄN</t>
        </is>
      </c>
      <c r="E115" t="inlineStr">
        <is>
          <t>MULLSJÖ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6210-2023</t>
        </is>
      </c>
      <c r="B116" s="1" t="n">
        <v>44964</v>
      </c>
      <c r="C116" s="1" t="n">
        <v>45507</v>
      </c>
      <c r="D116" t="inlineStr">
        <is>
          <t>JÖNKÖPINGS LÄN</t>
        </is>
      </c>
      <c r="E116" t="inlineStr">
        <is>
          <t>MULLSJÖ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6214-2023</t>
        </is>
      </c>
      <c r="B117" s="1" t="n">
        <v>44964</v>
      </c>
      <c r="C117" s="1" t="n">
        <v>45507</v>
      </c>
      <c r="D117" t="inlineStr">
        <is>
          <t>JÖNKÖPINGS LÄN</t>
        </is>
      </c>
      <c r="E117" t="inlineStr">
        <is>
          <t>MULLSJÖ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6194-2023</t>
        </is>
      </c>
      <c r="B118" s="1" t="n">
        <v>44964</v>
      </c>
      <c r="C118" s="1" t="n">
        <v>45507</v>
      </c>
      <c r="D118" t="inlineStr">
        <is>
          <t>JÖNKÖPINGS LÄN</t>
        </is>
      </c>
      <c r="E118" t="inlineStr">
        <is>
          <t>MULLSJÖ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6209-2023</t>
        </is>
      </c>
      <c r="B119" s="1" t="n">
        <v>44964</v>
      </c>
      <c r="C119" s="1" t="n">
        <v>45507</v>
      </c>
      <c r="D119" t="inlineStr">
        <is>
          <t>JÖNKÖPINGS LÄN</t>
        </is>
      </c>
      <c r="E119" t="inlineStr">
        <is>
          <t>MULLSJÖ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6196-2023</t>
        </is>
      </c>
      <c r="B120" s="1" t="n">
        <v>44964</v>
      </c>
      <c r="C120" s="1" t="n">
        <v>45507</v>
      </c>
      <c r="D120" t="inlineStr">
        <is>
          <t>JÖNKÖPINGS LÄN</t>
        </is>
      </c>
      <c r="E120" t="inlineStr">
        <is>
          <t>MULLSJÖ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6207-2023</t>
        </is>
      </c>
      <c r="B121" s="1" t="n">
        <v>44964</v>
      </c>
      <c r="C121" s="1" t="n">
        <v>45507</v>
      </c>
      <c r="D121" t="inlineStr">
        <is>
          <t>JÖNKÖPINGS LÄN</t>
        </is>
      </c>
      <c r="E121" t="inlineStr">
        <is>
          <t>MULLSJÖ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6211-2023</t>
        </is>
      </c>
      <c r="B122" s="1" t="n">
        <v>44964</v>
      </c>
      <c r="C122" s="1" t="n">
        <v>45507</v>
      </c>
      <c r="D122" t="inlineStr">
        <is>
          <t>JÖNKÖPINGS LÄN</t>
        </is>
      </c>
      <c r="E122" t="inlineStr">
        <is>
          <t>MULLSJÖ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6208-2023</t>
        </is>
      </c>
      <c r="B123" s="1" t="n">
        <v>44964</v>
      </c>
      <c r="C123" s="1" t="n">
        <v>45507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6212-2023</t>
        </is>
      </c>
      <c r="B124" s="1" t="n">
        <v>44964</v>
      </c>
      <c r="C124" s="1" t="n">
        <v>45507</v>
      </c>
      <c r="D124" t="inlineStr">
        <is>
          <t>JÖNKÖPINGS LÄN</t>
        </is>
      </c>
      <c r="E124" t="inlineStr">
        <is>
          <t>MULLSJÖ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6424-2023</t>
        </is>
      </c>
      <c r="B125" s="1" t="n">
        <v>44965</v>
      </c>
      <c r="C125" s="1" t="n">
        <v>45507</v>
      </c>
      <c r="D125" t="inlineStr">
        <is>
          <t>JÖNKÖPINGS LÄN</t>
        </is>
      </c>
      <c r="E125" t="inlineStr">
        <is>
          <t>MULLSJÖ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6690-2023</t>
        </is>
      </c>
      <c r="B126" s="1" t="n">
        <v>44966</v>
      </c>
      <c r="C126" s="1" t="n">
        <v>45507</v>
      </c>
      <c r="D126" t="inlineStr">
        <is>
          <t>JÖNKÖPINGS LÄN</t>
        </is>
      </c>
      <c r="E126" t="inlineStr">
        <is>
          <t>MULLSJÖ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7181-2023</t>
        </is>
      </c>
      <c r="B127" s="1" t="n">
        <v>44970</v>
      </c>
      <c r="C127" s="1" t="n">
        <v>45507</v>
      </c>
      <c r="D127" t="inlineStr">
        <is>
          <t>JÖNKÖPINGS LÄN</t>
        </is>
      </c>
      <c r="E127" t="inlineStr">
        <is>
          <t>MULLSJÖ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HYPERLINK("https://klasma.github.io/Logging_0642/knärot/A 7181-2023 karta knärot.png", "A 7181-2023")</f>
        <v/>
      </c>
      <c r="V127">
        <f>HYPERLINK("https://klasma.github.io/Logging_0642/klagomål/A 7181-2023 FSC-klagomål.docx", "A 7181-2023")</f>
        <v/>
      </c>
      <c r="W127">
        <f>HYPERLINK("https://klasma.github.io/Logging_0642/klagomålsmail/A 7181-2023 FSC-klagomål mail.docx", "A 7181-2023")</f>
        <v/>
      </c>
      <c r="X127">
        <f>HYPERLINK("https://klasma.github.io/Logging_0642/tillsyn/A 7181-2023 tillsynsbegäran.docx", "A 7181-2023")</f>
        <v/>
      </c>
      <c r="Y127">
        <f>HYPERLINK("https://klasma.github.io/Logging_0642/tillsynsmail/A 7181-2023 tillsynsbegäran mail.docx", "A 7181-2023")</f>
        <v/>
      </c>
    </row>
    <row r="128" ht="15" customHeight="1">
      <c r="A128" t="inlineStr">
        <is>
          <t>A 8366-2023</t>
        </is>
      </c>
      <c r="B128" s="1" t="n">
        <v>44977</v>
      </c>
      <c r="C128" s="1" t="n">
        <v>45507</v>
      </c>
      <c r="D128" t="inlineStr">
        <is>
          <t>JÖNKÖPINGS LÄN</t>
        </is>
      </c>
      <c r="E128" t="inlineStr">
        <is>
          <t>MULLSJÖ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8371-2023</t>
        </is>
      </c>
      <c r="B129" s="1" t="n">
        <v>44977</v>
      </c>
      <c r="C129" s="1" t="n">
        <v>45507</v>
      </c>
      <c r="D129" t="inlineStr">
        <is>
          <t>JÖNKÖPINGS LÄN</t>
        </is>
      </c>
      <c r="E129" t="inlineStr">
        <is>
          <t>MULLSJÖ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8372-2023</t>
        </is>
      </c>
      <c r="B130" s="1" t="n">
        <v>44977</v>
      </c>
      <c r="C130" s="1" t="n">
        <v>45507</v>
      </c>
      <c r="D130" t="inlineStr">
        <is>
          <t>JÖNKÖPINGS LÄN</t>
        </is>
      </c>
      <c r="E130" t="inlineStr">
        <is>
          <t>MULLSJÖ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8373-2023</t>
        </is>
      </c>
      <c r="B131" s="1" t="n">
        <v>44977</v>
      </c>
      <c r="C131" s="1" t="n">
        <v>45507</v>
      </c>
      <c r="D131" t="inlineStr">
        <is>
          <t>JÖNKÖPINGS LÄN</t>
        </is>
      </c>
      <c r="E131" t="inlineStr">
        <is>
          <t>MULLSJÖ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8374-2023</t>
        </is>
      </c>
      <c r="B132" s="1" t="n">
        <v>44977</v>
      </c>
      <c r="C132" s="1" t="n">
        <v>45507</v>
      </c>
      <c r="D132" t="inlineStr">
        <is>
          <t>JÖNKÖPINGS LÄN</t>
        </is>
      </c>
      <c r="E132" t="inlineStr">
        <is>
          <t>MULLSJÖ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8462-2023</t>
        </is>
      </c>
      <c r="B133" s="1" t="n">
        <v>44977</v>
      </c>
      <c r="C133" s="1" t="n">
        <v>45507</v>
      </c>
      <c r="D133" t="inlineStr">
        <is>
          <t>JÖNKÖPINGS LÄN</t>
        </is>
      </c>
      <c r="E133" t="inlineStr">
        <is>
          <t>MULLSJÖ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11117-2023</t>
        </is>
      </c>
      <c r="B134" s="1" t="n">
        <v>44992</v>
      </c>
      <c r="C134" s="1" t="n">
        <v>45507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11457-2023</t>
        </is>
      </c>
      <c r="B135" s="1" t="n">
        <v>44993</v>
      </c>
      <c r="C135" s="1" t="n">
        <v>45507</v>
      </c>
      <c r="D135" t="inlineStr">
        <is>
          <t>JÖNKÖPINGS LÄN</t>
        </is>
      </c>
      <c r="E135" t="inlineStr">
        <is>
          <t>MULLSJÖ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12273-2023</t>
        </is>
      </c>
      <c r="B136" s="1" t="n">
        <v>44998</v>
      </c>
      <c r="C136" s="1" t="n">
        <v>45507</v>
      </c>
      <c r="D136" t="inlineStr">
        <is>
          <t>JÖNKÖPINGS LÄN</t>
        </is>
      </c>
      <c r="E136" t="inlineStr">
        <is>
          <t>MULLSJÖ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15189-2023</t>
        </is>
      </c>
      <c r="B137" s="1" t="n">
        <v>45016</v>
      </c>
      <c r="C137" s="1" t="n">
        <v>45507</v>
      </c>
      <c r="D137" t="inlineStr">
        <is>
          <t>JÖNKÖPINGS LÄN</t>
        </is>
      </c>
      <c r="E137" t="inlineStr">
        <is>
          <t>MULLSJÖ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19067-2023</t>
        </is>
      </c>
      <c r="B138" s="1" t="n">
        <v>45043</v>
      </c>
      <c r="C138" s="1" t="n">
        <v>45507</v>
      </c>
      <c r="D138" t="inlineStr">
        <is>
          <t>JÖNKÖPINGS LÄN</t>
        </is>
      </c>
      <c r="E138" t="inlineStr">
        <is>
          <t>MULLSJÖ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19107-2023</t>
        </is>
      </c>
      <c r="B139" s="1" t="n">
        <v>45048</v>
      </c>
      <c r="C139" s="1" t="n">
        <v>45507</v>
      </c>
      <c r="D139" t="inlineStr">
        <is>
          <t>JÖNKÖPINGS LÄN</t>
        </is>
      </c>
      <c r="E139" t="inlineStr">
        <is>
          <t>MULLSJÖ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21964-2023</t>
        </is>
      </c>
      <c r="B140" s="1" t="n">
        <v>45068</v>
      </c>
      <c r="C140" s="1" t="n">
        <v>45507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22102-2023</t>
        </is>
      </c>
      <c r="B141" s="1" t="n">
        <v>45069</v>
      </c>
      <c r="C141" s="1" t="n">
        <v>45507</v>
      </c>
      <c r="D141" t="inlineStr">
        <is>
          <t>JÖNKÖPINGS LÄN</t>
        </is>
      </c>
      <c r="E141" t="inlineStr">
        <is>
          <t>MULLSJÖ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24567-2023</t>
        </is>
      </c>
      <c r="B142" s="1" t="n">
        <v>45083</v>
      </c>
      <c r="C142" s="1" t="n">
        <v>45507</v>
      </c>
      <c r="D142" t="inlineStr">
        <is>
          <t>JÖNKÖPINGS LÄN</t>
        </is>
      </c>
      <c r="E142" t="inlineStr">
        <is>
          <t>MULLSJÖ</t>
        </is>
      </c>
      <c r="G142" t="n">
        <v>11.7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24566-2023</t>
        </is>
      </c>
      <c r="B143" s="1" t="n">
        <v>45083</v>
      </c>
      <c r="C143" s="1" t="n">
        <v>45507</v>
      </c>
      <c r="D143" t="inlineStr">
        <is>
          <t>JÖNKÖPINGS LÄN</t>
        </is>
      </c>
      <c r="E143" t="inlineStr">
        <is>
          <t>MULLSJÖ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24568-2023</t>
        </is>
      </c>
      <c r="B144" s="1" t="n">
        <v>45083</v>
      </c>
      <c r="C144" s="1" t="n">
        <v>45507</v>
      </c>
      <c r="D144" t="inlineStr">
        <is>
          <t>JÖNKÖPINGS LÄN</t>
        </is>
      </c>
      <c r="E144" t="inlineStr">
        <is>
          <t>MULLSJÖ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28616-2023</t>
        </is>
      </c>
      <c r="B145" s="1" t="n">
        <v>45103</v>
      </c>
      <c r="C145" s="1" t="n">
        <v>45507</v>
      </c>
      <c r="D145" t="inlineStr">
        <is>
          <t>JÖNKÖPINGS LÄN</t>
        </is>
      </c>
      <c r="E145" t="inlineStr">
        <is>
          <t>MULLSJÖ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28605-2023</t>
        </is>
      </c>
      <c r="B146" s="1" t="n">
        <v>45103</v>
      </c>
      <c r="C146" s="1" t="n">
        <v>45507</v>
      </c>
      <c r="D146" t="inlineStr">
        <is>
          <t>JÖNKÖPINGS LÄN</t>
        </is>
      </c>
      <c r="E146" t="inlineStr">
        <is>
          <t>MULLSJÖ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31854-2023</t>
        </is>
      </c>
      <c r="B147" s="1" t="n">
        <v>45118</v>
      </c>
      <c r="C147" s="1" t="n">
        <v>45507</v>
      </c>
      <c r="D147" t="inlineStr">
        <is>
          <t>JÖNKÖPINGS LÄN</t>
        </is>
      </c>
      <c r="E147" t="inlineStr">
        <is>
          <t>MULLSJÖ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31864-2023</t>
        </is>
      </c>
      <c r="B148" s="1" t="n">
        <v>45118</v>
      </c>
      <c r="C148" s="1" t="n">
        <v>45507</v>
      </c>
      <c r="D148" t="inlineStr">
        <is>
          <t>JÖNKÖPINGS LÄN</t>
        </is>
      </c>
      <c r="E148" t="inlineStr">
        <is>
          <t>MULLSJÖ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35244-2023</t>
        </is>
      </c>
      <c r="B149" s="1" t="n">
        <v>45145</v>
      </c>
      <c r="C149" s="1" t="n">
        <v>45507</v>
      </c>
      <c r="D149" t="inlineStr">
        <is>
          <t>JÖNKÖPINGS LÄN</t>
        </is>
      </c>
      <c r="E149" t="inlineStr">
        <is>
          <t>MULLSJÖ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35245-2023</t>
        </is>
      </c>
      <c r="B150" s="1" t="n">
        <v>45145</v>
      </c>
      <c r="C150" s="1" t="n">
        <v>45507</v>
      </c>
      <c r="D150" t="inlineStr">
        <is>
          <t>JÖNKÖPINGS LÄN</t>
        </is>
      </c>
      <c r="E150" t="inlineStr">
        <is>
          <t>MULLSJÖ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35847-2023</t>
        </is>
      </c>
      <c r="B151" s="1" t="n">
        <v>45148</v>
      </c>
      <c r="C151" s="1" t="n">
        <v>45507</v>
      </c>
      <c r="D151" t="inlineStr">
        <is>
          <t>JÖNKÖPINGS LÄN</t>
        </is>
      </c>
      <c r="E151" t="inlineStr">
        <is>
          <t>MULLSJÖ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40121-2023</t>
        </is>
      </c>
      <c r="B152" s="1" t="n">
        <v>45169</v>
      </c>
      <c r="C152" s="1" t="n">
        <v>45507</v>
      </c>
      <c r="D152" t="inlineStr">
        <is>
          <t>JÖNKÖPINGS LÄN</t>
        </is>
      </c>
      <c r="E152" t="inlineStr">
        <is>
          <t>MULLSJÖ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40157-2023</t>
        </is>
      </c>
      <c r="B153" s="1" t="n">
        <v>45169</v>
      </c>
      <c r="C153" s="1" t="n">
        <v>45507</v>
      </c>
      <c r="D153" t="inlineStr">
        <is>
          <t>JÖNKÖPINGS LÄN</t>
        </is>
      </c>
      <c r="E153" t="inlineStr">
        <is>
          <t>MULLSJÖ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40960-2023</t>
        </is>
      </c>
      <c r="B154" s="1" t="n">
        <v>45169</v>
      </c>
      <c r="C154" s="1" t="n">
        <v>45507</v>
      </c>
      <c r="D154" t="inlineStr">
        <is>
          <t>JÖNKÖPINGS LÄN</t>
        </is>
      </c>
      <c r="E154" t="inlineStr">
        <is>
          <t>MULLSJÖ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40661-2023</t>
        </is>
      </c>
      <c r="B155" s="1" t="n">
        <v>45170</v>
      </c>
      <c r="C155" s="1" t="n">
        <v>45507</v>
      </c>
      <c r="D155" t="inlineStr">
        <is>
          <t>JÖNKÖPINGS LÄN</t>
        </is>
      </c>
      <c r="E155" t="inlineStr">
        <is>
          <t>MULLSJÖ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44649-2023</t>
        </is>
      </c>
      <c r="B156" s="1" t="n">
        <v>45189</v>
      </c>
      <c r="C156" s="1" t="n">
        <v>45507</v>
      </c>
      <c r="D156" t="inlineStr">
        <is>
          <t>JÖNKÖPINGS LÄN</t>
        </is>
      </c>
      <c r="E156" t="inlineStr">
        <is>
          <t>MULLSJÖ</t>
        </is>
      </c>
      <c r="F156" t="inlineStr">
        <is>
          <t>Kommuner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44654-2023</t>
        </is>
      </c>
      <c r="B157" s="1" t="n">
        <v>45189</v>
      </c>
      <c r="C157" s="1" t="n">
        <v>45507</v>
      </c>
      <c r="D157" t="inlineStr">
        <is>
          <t>JÖNKÖPINGS LÄN</t>
        </is>
      </c>
      <c r="E157" t="inlineStr">
        <is>
          <t>MULLSJÖ</t>
        </is>
      </c>
      <c r="F157" t="inlineStr">
        <is>
          <t>Kommuner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45386-2023</t>
        </is>
      </c>
      <c r="B158" s="1" t="n">
        <v>45193</v>
      </c>
      <c r="C158" s="1" t="n">
        <v>45507</v>
      </c>
      <c r="D158" t="inlineStr">
        <is>
          <t>JÖNKÖPINGS LÄN</t>
        </is>
      </c>
      <c r="E158" t="inlineStr">
        <is>
          <t>MULLSJÖ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46901-2023</t>
        </is>
      </c>
      <c r="B159" s="1" t="n">
        <v>45201</v>
      </c>
      <c r="C159" s="1" t="n">
        <v>45507</v>
      </c>
      <c r="D159" t="inlineStr">
        <is>
          <t>JÖNKÖPINGS LÄN</t>
        </is>
      </c>
      <c r="E159" t="inlineStr">
        <is>
          <t>MULLSJÖ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47194-2023</t>
        </is>
      </c>
      <c r="B160" s="1" t="n">
        <v>45202</v>
      </c>
      <c r="C160" s="1" t="n">
        <v>45507</v>
      </c>
      <c r="D160" t="inlineStr">
        <is>
          <t>JÖNKÖPINGS LÄN</t>
        </is>
      </c>
      <c r="E160" t="inlineStr">
        <is>
          <t>MULLSJÖ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47860-2023</t>
        </is>
      </c>
      <c r="B161" s="1" t="n">
        <v>45204</v>
      </c>
      <c r="C161" s="1" t="n">
        <v>45507</v>
      </c>
      <c r="D161" t="inlineStr">
        <is>
          <t>JÖNKÖPINGS LÄN</t>
        </is>
      </c>
      <c r="E161" t="inlineStr">
        <is>
          <t>MULLSJÖ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49924-2023</t>
        </is>
      </c>
      <c r="B162" s="1" t="n">
        <v>45214</v>
      </c>
      <c r="C162" s="1" t="n">
        <v>45507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49925-2023</t>
        </is>
      </c>
      <c r="B163" s="1" t="n">
        <v>45214</v>
      </c>
      <c r="C163" s="1" t="n">
        <v>45507</v>
      </c>
      <c r="D163" t="inlineStr">
        <is>
          <t>JÖNKÖPINGS LÄN</t>
        </is>
      </c>
      <c r="E163" t="inlineStr">
        <is>
          <t>MULLSJÖ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50248-2023</t>
        </is>
      </c>
      <c r="B164" s="1" t="n">
        <v>45216</v>
      </c>
      <c r="C164" s="1" t="n">
        <v>45507</v>
      </c>
      <c r="D164" t="inlineStr">
        <is>
          <t>JÖNKÖPINGS LÄN</t>
        </is>
      </c>
      <c r="E164" t="inlineStr">
        <is>
          <t>MULLSJÖ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51118-2023</t>
        </is>
      </c>
      <c r="B165" s="1" t="n">
        <v>45219</v>
      </c>
      <c r="C165" s="1" t="n">
        <v>45507</v>
      </c>
      <c r="D165" t="inlineStr">
        <is>
          <t>JÖNKÖPINGS LÄN</t>
        </is>
      </c>
      <c r="E165" t="inlineStr">
        <is>
          <t>MULLSJÖ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56876-2023</t>
        </is>
      </c>
      <c r="B166" s="1" t="n">
        <v>45244</v>
      </c>
      <c r="C166" s="1" t="n">
        <v>45507</v>
      </c>
      <c r="D166" t="inlineStr">
        <is>
          <t>JÖNKÖPINGS LÄN</t>
        </is>
      </c>
      <c r="E166" t="inlineStr">
        <is>
          <t>MULLSJÖ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57423-2023</t>
        </is>
      </c>
      <c r="B167" s="1" t="n">
        <v>45246</v>
      </c>
      <c r="C167" s="1" t="n">
        <v>45507</v>
      </c>
      <c r="D167" t="inlineStr">
        <is>
          <t>JÖNKÖPINGS LÄN</t>
        </is>
      </c>
      <c r="E167" t="inlineStr">
        <is>
          <t>MULLSJÖ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57494-2023</t>
        </is>
      </c>
      <c r="B168" s="1" t="n">
        <v>45246</v>
      </c>
      <c r="C168" s="1" t="n">
        <v>45507</v>
      </c>
      <c r="D168" t="inlineStr">
        <is>
          <t>JÖNKÖPINGS LÄN</t>
        </is>
      </c>
      <c r="E168" t="inlineStr">
        <is>
          <t>MULLSJÖ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58712-2023</t>
        </is>
      </c>
      <c r="B169" s="1" t="n">
        <v>45251</v>
      </c>
      <c r="C169" s="1" t="n">
        <v>45507</v>
      </c>
      <c r="D169" t="inlineStr">
        <is>
          <t>JÖNKÖPINGS LÄN</t>
        </is>
      </c>
      <c r="E169" t="inlineStr">
        <is>
          <t>MULLSJÖ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61178-2023</t>
        </is>
      </c>
      <c r="B170" s="1" t="n">
        <v>45263</v>
      </c>
      <c r="C170" s="1" t="n">
        <v>45507</v>
      </c>
      <c r="D170" t="inlineStr">
        <is>
          <t>JÖNKÖPINGS LÄN</t>
        </is>
      </c>
      <c r="E170" t="inlineStr">
        <is>
          <t>MULLSJÖ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61177-2023</t>
        </is>
      </c>
      <c r="B171" s="1" t="n">
        <v>45263</v>
      </c>
      <c r="C171" s="1" t="n">
        <v>45507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61176-2023</t>
        </is>
      </c>
      <c r="B172" s="1" t="n">
        <v>45263</v>
      </c>
      <c r="C172" s="1" t="n">
        <v>45507</v>
      </c>
      <c r="D172" t="inlineStr">
        <is>
          <t>JÖNKÖPINGS LÄN</t>
        </is>
      </c>
      <c r="E172" t="inlineStr">
        <is>
          <t>MULLSJÖ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61727-2023</t>
        </is>
      </c>
      <c r="B173" s="1" t="n">
        <v>45265</v>
      </c>
      <c r="C173" s="1" t="n">
        <v>45507</v>
      </c>
      <c r="D173" t="inlineStr">
        <is>
          <t>JÖNKÖPINGS LÄN</t>
        </is>
      </c>
      <c r="E173" t="inlineStr">
        <is>
          <t>MULLSJÖ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64387-2023</t>
        </is>
      </c>
      <c r="B174" s="1" t="n">
        <v>45280</v>
      </c>
      <c r="C174" s="1" t="n">
        <v>45507</v>
      </c>
      <c r="D174" t="inlineStr">
        <is>
          <t>JÖNKÖPINGS LÄN</t>
        </is>
      </c>
      <c r="E174" t="inlineStr">
        <is>
          <t>MULLSJÖ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1489-2024</t>
        </is>
      </c>
      <c r="B175" s="1" t="n">
        <v>45305</v>
      </c>
      <c r="C175" s="1" t="n">
        <v>45507</v>
      </c>
      <c r="D175" t="inlineStr">
        <is>
          <t>JÖNKÖPINGS LÄN</t>
        </is>
      </c>
      <c r="E175" t="inlineStr">
        <is>
          <t>MULLSJÖ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2497-2024</t>
        </is>
      </c>
      <c r="B176" s="1" t="n">
        <v>45313</v>
      </c>
      <c r="C176" s="1" t="n">
        <v>45507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2495-2024</t>
        </is>
      </c>
      <c r="B177" s="1" t="n">
        <v>45313</v>
      </c>
      <c r="C177" s="1" t="n">
        <v>45507</v>
      </c>
      <c r="D177" t="inlineStr">
        <is>
          <t>JÖNKÖPINGS LÄN</t>
        </is>
      </c>
      <c r="E177" t="inlineStr">
        <is>
          <t>MULLSJÖ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2498-2024</t>
        </is>
      </c>
      <c r="B178" s="1" t="n">
        <v>45313</v>
      </c>
      <c r="C178" s="1" t="n">
        <v>45507</v>
      </c>
      <c r="D178" t="inlineStr">
        <is>
          <t>JÖNKÖPINGS LÄN</t>
        </is>
      </c>
      <c r="E178" t="inlineStr">
        <is>
          <t>MULLSJÖ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3775-2024</t>
        </is>
      </c>
      <c r="B179" s="1" t="n">
        <v>45321</v>
      </c>
      <c r="C179" s="1" t="n">
        <v>45507</v>
      </c>
      <c r="D179" t="inlineStr">
        <is>
          <t>JÖNKÖPINGS LÄN</t>
        </is>
      </c>
      <c r="E179" t="inlineStr">
        <is>
          <t>MULLSJÖ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4252-2024</t>
        </is>
      </c>
      <c r="B180" s="1" t="n">
        <v>45324</v>
      </c>
      <c r="C180" s="1" t="n">
        <v>45507</v>
      </c>
      <c r="D180" t="inlineStr">
        <is>
          <t>JÖNKÖPINGS LÄN</t>
        </is>
      </c>
      <c r="E180" t="inlineStr">
        <is>
          <t>MULLSJÖ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4256-2024</t>
        </is>
      </c>
      <c r="B181" s="1" t="n">
        <v>45324</v>
      </c>
      <c r="C181" s="1" t="n">
        <v>45507</v>
      </c>
      <c r="D181" t="inlineStr">
        <is>
          <t>JÖNKÖPINGS LÄN</t>
        </is>
      </c>
      <c r="E181" t="inlineStr">
        <is>
          <t>MULLSJÖ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4265-2024</t>
        </is>
      </c>
      <c r="B182" s="1" t="n">
        <v>45324</v>
      </c>
      <c r="C182" s="1" t="n">
        <v>45507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4999-2024</t>
        </is>
      </c>
      <c r="B183" s="1" t="n">
        <v>45329</v>
      </c>
      <c r="C183" s="1" t="n">
        <v>45507</v>
      </c>
      <c r="D183" t="inlineStr">
        <is>
          <t>JÖNKÖPINGS LÄN</t>
        </is>
      </c>
      <c r="E183" t="inlineStr">
        <is>
          <t>MULLSJÖ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6222-2024</t>
        </is>
      </c>
      <c r="B184" s="1" t="n">
        <v>45337</v>
      </c>
      <c r="C184" s="1" t="n">
        <v>45507</v>
      </c>
      <c r="D184" t="inlineStr">
        <is>
          <t>JÖNKÖPINGS LÄN</t>
        </is>
      </c>
      <c r="E184" t="inlineStr">
        <is>
          <t>MULLSJÖ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7820-2024</t>
        </is>
      </c>
      <c r="B185" s="1" t="n">
        <v>45349</v>
      </c>
      <c r="C185" s="1" t="n">
        <v>45507</v>
      </c>
      <c r="D185" t="inlineStr">
        <is>
          <t>JÖNKÖPINGS LÄN</t>
        </is>
      </c>
      <c r="E185" t="inlineStr">
        <is>
          <t>MULLSJÖ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7817-2024</t>
        </is>
      </c>
      <c r="B186" s="1" t="n">
        <v>45349</v>
      </c>
      <c r="C186" s="1" t="n">
        <v>45507</v>
      </c>
      <c r="D186" t="inlineStr">
        <is>
          <t>JÖNKÖPINGS LÄN</t>
        </is>
      </c>
      <c r="E186" t="inlineStr">
        <is>
          <t>MULLSJÖ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7821-2024</t>
        </is>
      </c>
      <c r="B187" s="1" t="n">
        <v>45349</v>
      </c>
      <c r="C187" s="1" t="n">
        <v>45507</v>
      </c>
      <c r="D187" t="inlineStr">
        <is>
          <t>JÖNKÖPINGS LÄN</t>
        </is>
      </c>
      <c r="E187" t="inlineStr">
        <is>
          <t>MULLSJÖ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7823-2024</t>
        </is>
      </c>
      <c r="B188" s="1" t="n">
        <v>45349</v>
      </c>
      <c r="C188" s="1" t="n">
        <v>45507</v>
      </c>
      <c r="D188" t="inlineStr">
        <is>
          <t>JÖNKÖPINGS LÄN</t>
        </is>
      </c>
      <c r="E188" t="inlineStr">
        <is>
          <t>MULLSJÖ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9008-2024</t>
        </is>
      </c>
      <c r="B189" s="1" t="n">
        <v>45357</v>
      </c>
      <c r="C189" s="1" t="n">
        <v>45507</v>
      </c>
      <c r="D189" t="inlineStr">
        <is>
          <t>JÖNKÖPINGS LÄN</t>
        </is>
      </c>
      <c r="E189" t="inlineStr">
        <is>
          <t>MULLSJÖ</t>
        </is>
      </c>
      <c r="F189" t="inlineStr">
        <is>
          <t>Kommuner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9934-2024</t>
        </is>
      </c>
      <c r="B190" s="1" t="n">
        <v>45363</v>
      </c>
      <c r="C190" s="1" t="n">
        <v>45507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11282-2024</t>
        </is>
      </c>
      <c r="B191" s="1" t="n">
        <v>45371</v>
      </c>
      <c r="C191" s="1" t="n">
        <v>45507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11281-2024</t>
        </is>
      </c>
      <c r="B192" s="1" t="n">
        <v>45371</v>
      </c>
      <c r="C192" s="1" t="n">
        <v>45507</v>
      </c>
      <c r="D192" t="inlineStr">
        <is>
          <t>JÖNKÖPINGS LÄN</t>
        </is>
      </c>
      <c r="E192" t="inlineStr">
        <is>
          <t>MULLSJÖ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11280-2024</t>
        </is>
      </c>
      <c r="B193" s="1" t="n">
        <v>45371</v>
      </c>
      <c r="C193" s="1" t="n">
        <v>45507</v>
      </c>
      <c r="D193" t="inlineStr">
        <is>
          <t>JÖNKÖPINGS LÄN</t>
        </is>
      </c>
      <c r="E193" t="inlineStr">
        <is>
          <t>MULLSJÖ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11515-2024</t>
        </is>
      </c>
      <c r="B194" s="1" t="n">
        <v>45372</v>
      </c>
      <c r="C194" s="1" t="n">
        <v>45507</v>
      </c>
      <c r="D194" t="inlineStr">
        <is>
          <t>JÖNKÖPINGS LÄN</t>
        </is>
      </c>
      <c r="E194" t="inlineStr">
        <is>
          <t>MULLSJÖ</t>
        </is>
      </c>
      <c r="F194" t="inlineStr">
        <is>
          <t>Kyrkan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13575-2024</t>
        </is>
      </c>
      <c r="B195" s="1" t="n">
        <v>45389</v>
      </c>
      <c r="C195" s="1" t="n">
        <v>45507</v>
      </c>
      <c r="D195" t="inlineStr">
        <is>
          <t>JÖNKÖPINGS LÄN</t>
        </is>
      </c>
      <c r="E195" t="inlineStr">
        <is>
          <t>MULLSJÖ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14211-2024</t>
        </is>
      </c>
      <c r="B196" s="1" t="n">
        <v>45393</v>
      </c>
      <c r="C196" s="1" t="n">
        <v>45507</v>
      </c>
      <c r="D196" t="inlineStr">
        <is>
          <t>JÖNKÖPINGS LÄN</t>
        </is>
      </c>
      <c r="E196" t="inlineStr">
        <is>
          <t>MULLSJÖ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14226-2024</t>
        </is>
      </c>
      <c r="B197" s="1" t="n">
        <v>45393</v>
      </c>
      <c r="C197" s="1" t="n">
        <v>45507</v>
      </c>
      <c r="D197" t="inlineStr">
        <is>
          <t>JÖNKÖPINGS LÄN</t>
        </is>
      </c>
      <c r="E197" t="inlineStr">
        <is>
          <t>MULLSJÖ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14230-2024</t>
        </is>
      </c>
      <c r="B198" s="1" t="n">
        <v>45393</v>
      </c>
      <c r="C198" s="1" t="n">
        <v>45507</v>
      </c>
      <c r="D198" t="inlineStr">
        <is>
          <t>JÖNKÖPINGS LÄN</t>
        </is>
      </c>
      <c r="E198" t="inlineStr">
        <is>
          <t>MULLSJÖ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14606-2024</t>
        </is>
      </c>
      <c r="B199" s="1" t="n">
        <v>45396</v>
      </c>
      <c r="C199" s="1" t="n">
        <v>45507</v>
      </c>
      <c r="D199" t="inlineStr">
        <is>
          <t>JÖNKÖPINGS LÄN</t>
        </is>
      </c>
      <c r="E199" t="inlineStr">
        <is>
          <t>MULLSJÖ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15489-2024</t>
        </is>
      </c>
      <c r="B200" s="1" t="n">
        <v>45401</v>
      </c>
      <c r="C200" s="1" t="n">
        <v>45507</v>
      </c>
      <c r="D200" t="inlineStr">
        <is>
          <t>JÖNKÖPINGS LÄN</t>
        </is>
      </c>
      <c r="E200" t="inlineStr">
        <is>
          <t>MULLSJÖ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15498-2024</t>
        </is>
      </c>
      <c r="B201" s="1" t="n">
        <v>45401</v>
      </c>
      <c r="C201" s="1" t="n">
        <v>45507</v>
      </c>
      <c r="D201" t="inlineStr">
        <is>
          <t>JÖNKÖPINGS LÄN</t>
        </is>
      </c>
      <c r="E201" t="inlineStr">
        <is>
          <t>MULLSJÖ</t>
        </is>
      </c>
      <c r="F201" t="inlineStr">
        <is>
          <t>Kyrkan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19740-2024</t>
        </is>
      </c>
      <c r="B202" s="1" t="n">
        <v>45432</v>
      </c>
      <c r="C202" s="1" t="n">
        <v>45507</v>
      </c>
      <c r="D202" t="inlineStr">
        <is>
          <t>JÖNKÖPINGS LÄN</t>
        </is>
      </c>
      <c r="E202" t="inlineStr">
        <is>
          <t>MULLSJÖ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20614-2024</t>
        </is>
      </c>
      <c r="B203" s="1" t="n">
        <v>45436</v>
      </c>
      <c r="C203" s="1" t="n">
        <v>45507</v>
      </c>
      <c r="D203" t="inlineStr">
        <is>
          <t>JÖNKÖPINGS LÄN</t>
        </is>
      </c>
      <c r="E203" t="inlineStr">
        <is>
          <t>MULLSJÖ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22270-2024</t>
        </is>
      </c>
      <c r="B204" s="1" t="n">
        <v>45446</v>
      </c>
      <c r="C204" s="1" t="n">
        <v>45507</v>
      </c>
      <c r="D204" t="inlineStr">
        <is>
          <t>JÖNKÖPINGS LÄN</t>
        </is>
      </c>
      <c r="E204" t="inlineStr">
        <is>
          <t>MULLSJÖ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22269-2024</t>
        </is>
      </c>
      <c r="B205" s="1" t="n">
        <v>45446</v>
      </c>
      <c r="C205" s="1" t="n">
        <v>45507</v>
      </c>
      <c r="D205" t="inlineStr">
        <is>
          <t>JÖNKÖPINGS LÄN</t>
        </is>
      </c>
      <c r="E205" t="inlineStr">
        <is>
          <t>MULLSJÖ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23128-2024</t>
        </is>
      </c>
      <c r="B206" s="1" t="n">
        <v>45450</v>
      </c>
      <c r="C206" s="1" t="n">
        <v>45507</v>
      </c>
      <c r="D206" t="inlineStr">
        <is>
          <t>JÖNKÖPINGS LÄN</t>
        </is>
      </c>
      <c r="E206" t="inlineStr">
        <is>
          <t>MULLSJÖ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23787-2024</t>
        </is>
      </c>
      <c r="B207" s="1" t="n">
        <v>45455</v>
      </c>
      <c r="C207" s="1" t="n">
        <v>45507</v>
      </c>
      <c r="D207" t="inlineStr">
        <is>
          <t>JÖNKÖPINGS LÄN</t>
        </is>
      </c>
      <c r="E207" t="inlineStr">
        <is>
          <t>MULLSJÖ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23789-2024</t>
        </is>
      </c>
      <c r="B208" s="1" t="n">
        <v>45455</v>
      </c>
      <c r="C208" s="1" t="n">
        <v>45507</v>
      </c>
      <c r="D208" t="inlineStr">
        <is>
          <t>JÖNKÖPINGS LÄN</t>
        </is>
      </c>
      <c r="E208" t="inlineStr">
        <is>
          <t>MULLSJÖ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26107-2024</t>
        </is>
      </c>
      <c r="B209" s="1" t="n">
        <v>45468</v>
      </c>
      <c r="C209" s="1" t="n">
        <v>45507</v>
      </c>
      <c r="D209" t="inlineStr">
        <is>
          <t>JÖNKÖPINGS LÄN</t>
        </is>
      </c>
      <c r="E209" t="inlineStr">
        <is>
          <t>MULLSJÖ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26264-2024</t>
        </is>
      </c>
      <c r="B210" s="1" t="n">
        <v>45468</v>
      </c>
      <c r="C210" s="1" t="n">
        <v>45507</v>
      </c>
      <c r="D210" t="inlineStr">
        <is>
          <t>JÖNKÖPINGS LÄN</t>
        </is>
      </c>
      <c r="E210" t="inlineStr">
        <is>
          <t>MULLSJÖ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26123-2024</t>
        </is>
      </c>
      <c r="B211" s="1" t="n">
        <v>45468</v>
      </c>
      <c r="C211" s="1" t="n">
        <v>45507</v>
      </c>
      <c r="D211" t="inlineStr">
        <is>
          <t>JÖNKÖPINGS LÄN</t>
        </is>
      </c>
      <c r="E211" t="inlineStr">
        <is>
          <t>MULLSJÖ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26749-2024</t>
        </is>
      </c>
      <c r="B212" s="1" t="n">
        <v>45469</v>
      </c>
      <c r="C212" s="1" t="n">
        <v>45507</v>
      </c>
      <c r="D212" t="inlineStr">
        <is>
          <t>JÖNKÖPINGS LÄN</t>
        </is>
      </c>
      <c r="E212" t="inlineStr">
        <is>
          <t>MULLSJÖ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26760-2024</t>
        </is>
      </c>
      <c r="B213" s="1" t="n">
        <v>45469</v>
      </c>
      <c r="C213" s="1" t="n">
        <v>45507</v>
      </c>
      <c r="D213" t="inlineStr">
        <is>
          <t>JÖNKÖPINGS LÄN</t>
        </is>
      </c>
      <c r="E213" t="inlineStr">
        <is>
          <t>MULLSJÖ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26705-2024</t>
        </is>
      </c>
      <c r="B214" s="1" t="n">
        <v>45469</v>
      </c>
      <c r="C214" s="1" t="n">
        <v>45507</v>
      </c>
      <c r="D214" t="inlineStr">
        <is>
          <t>JÖNKÖPINGS LÄN</t>
        </is>
      </c>
      <c r="E214" t="inlineStr">
        <is>
          <t>MULLSJÖ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26754-2024</t>
        </is>
      </c>
      <c r="B215" s="1" t="n">
        <v>45469</v>
      </c>
      <c r="C215" s="1" t="n">
        <v>45507</v>
      </c>
      <c r="D215" t="inlineStr">
        <is>
          <t>JÖNKÖPINGS LÄN</t>
        </is>
      </c>
      <c r="E215" t="inlineStr">
        <is>
          <t>MULLSJÖ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26746-2024</t>
        </is>
      </c>
      <c r="B216" s="1" t="n">
        <v>45469</v>
      </c>
      <c r="C216" s="1" t="n">
        <v>45507</v>
      </c>
      <c r="D216" t="inlineStr">
        <is>
          <t>JÖNKÖPINGS LÄN</t>
        </is>
      </c>
      <c r="E216" t="inlineStr">
        <is>
          <t>MULLSJÖ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26757-2024</t>
        </is>
      </c>
      <c r="B217" s="1" t="n">
        <v>45469</v>
      </c>
      <c r="C217" s="1" t="n">
        <v>45507</v>
      </c>
      <c r="D217" t="inlineStr">
        <is>
          <t>JÖNKÖPINGS LÄN</t>
        </is>
      </c>
      <c r="E217" t="inlineStr">
        <is>
          <t>MULLSJÖ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26584-2024</t>
        </is>
      </c>
      <c r="B218" s="1" t="n">
        <v>45469</v>
      </c>
      <c r="C218" s="1" t="n">
        <v>45507</v>
      </c>
      <c r="D218" t="inlineStr">
        <is>
          <t>JÖNKÖPINGS LÄN</t>
        </is>
      </c>
      <c r="E218" t="inlineStr">
        <is>
          <t>MULLSJÖ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26751-2024</t>
        </is>
      </c>
      <c r="B219" s="1" t="n">
        <v>45469</v>
      </c>
      <c r="C219" s="1" t="n">
        <v>45507</v>
      </c>
      <c r="D219" t="inlineStr">
        <is>
          <t>JÖNKÖPINGS LÄN</t>
        </is>
      </c>
      <c r="E219" t="inlineStr">
        <is>
          <t>MULLSJÖ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28777-2024</t>
        </is>
      </c>
      <c r="B220" s="1" t="n">
        <v>45478</v>
      </c>
      <c r="C220" s="1" t="n">
        <v>45507</v>
      </c>
      <c r="D220" t="inlineStr">
        <is>
          <t>JÖNKÖPINGS LÄN</t>
        </is>
      </c>
      <c r="E220" t="inlineStr">
        <is>
          <t>MULLSJÖ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28791-2024</t>
        </is>
      </c>
      <c r="B221" s="1" t="n">
        <v>45478</v>
      </c>
      <c r="C221" s="1" t="n">
        <v>45507</v>
      </c>
      <c r="D221" t="inlineStr">
        <is>
          <t>JÖNKÖPINGS LÄN</t>
        </is>
      </c>
      <c r="E221" t="inlineStr">
        <is>
          <t>MULLSJÖ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29393-2024</t>
        </is>
      </c>
      <c r="B222" s="1" t="n">
        <v>45483</v>
      </c>
      <c r="C222" s="1" t="n">
        <v>45507</v>
      </c>
      <c r="D222" t="inlineStr">
        <is>
          <t>JÖNKÖPINGS LÄN</t>
        </is>
      </c>
      <c r="E222" t="inlineStr">
        <is>
          <t>MULLSJÖ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29527-2024</t>
        </is>
      </c>
      <c r="B223" s="1" t="n">
        <v>45484</v>
      </c>
      <c r="C223" s="1" t="n">
        <v>45507</v>
      </c>
      <c r="D223" t="inlineStr">
        <is>
          <t>JÖNKÖPINGS LÄN</t>
        </is>
      </c>
      <c r="E223" t="inlineStr">
        <is>
          <t>MULLSJÖ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30641-2024</t>
        </is>
      </c>
      <c r="B224" s="1" t="n">
        <v>45495</v>
      </c>
      <c r="C224" s="1" t="n">
        <v>45507</v>
      </c>
      <c r="D224" t="inlineStr">
        <is>
          <t>JÖNKÖPINGS LÄN</t>
        </is>
      </c>
      <c r="E224" t="inlineStr">
        <is>
          <t>MULLSJÖ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30640-2024</t>
        </is>
      </c>
      <c r="B225" s="1" t="n">
        <v>45495</v>
      </c>
      <c r="C225" s="1" t="n">
        <v>45507</v>
      </c>
      <c r="D225" t="inlineStr">
        <is>
          <t>JÖNKÖPINGS LÄN</t>
        </is>
      </c>
      <c r="E225" t="inlineStr">
        <is>
          <t>MULLSJÖ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2024-08-03T10:36:16Z</dcterms:created>
  <dcterms:modified xmlns:dcterms="http://purl.org/dc/terms/" xmlns:xsi="http://www.w3.org/2001/XMLSchema-instance" xsi:type="dcterms:W3CDTF">2024-08-03T10:36:17Z</dcterms:modified>
</cp:coreProperties>
</file>