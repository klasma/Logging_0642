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46267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46267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46267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46267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46267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46267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46267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46267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46267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46267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46267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46267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46267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14230-2024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45393</v>
      </c>
      <c r="E21" s="1" t="n">
        <v>46267</v>
      </c>
      <c r="F21" t="inlineStr">
        <is>
          <t>JÖNKÖPINGS LÄN</t>
        </is>
      </c>
      <c r="G21" t="inlineStr">
        <is>
          <t>MULLSJÖ</t>
        </is>
      </c>
      <c r="I21" t="n">
        <v>2.9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Guldlockmossa</t>
        </is>
      </c>
      <c r="W21">
        <f>HYPERLINK("https://klasma.github.io/Logging_0642/artfynd/A 14230-2024 artfynd.xlsx", "A 14230-2024")</f>
        <v/>
      </c>
      <c r="X21">
        <f>HYPERLINK("https://klasma.github.io/Logging_0642/kartor/A 14230-2024 karta.png", "A 14230-2024")</f>
        <v/>
      </c>
      <c r="Y21">
        <f>HYPERLINK("https://klasma.github.io/Logging_0642/kartor_geotiff/A 14230-2024 georefererad karta.tif", "A 14230-2024")</f>
        <v/>
      </c>
      <c r="AA21">
        <f>HYPERLINK("https://klasma.github.io/Logging_0642/klagomål/A 14230-2024 FSC-klagomål.docx", "A 14230-2024")</f>
        <v/>
      </c>
      <c r="AB21">
        <f>HYPERLINK("https://klasma.github.io/Logging_0642/klagomålsmail/A 14230-2024 FSC-klagomål mail.docx", "A 14230-2024")</f>
        <v/>
      </c>
      <c r="AC21">
        <f>HYPERLINK("https://klasma.github.io/Logging_0642/tillsyn/A 14230-2024 tillsynsbegäran.docx", "A 14230-2024")</f>
        <v/>
      </c>
      <c r="AD21">
        <f>HYPERLINK("https://klasma.github.io/Logging_0642/tillsynsmail/A 14230-2024 tillsynsbegäran mail.docx", "A 14230-2024")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46267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46267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1221-2026 artfynd.xlsx", "A 1221-2026")</f>
        <v/>
      </c>
      <c r="X23">
        <f>HYPERLINK("https://klasma.github.io/Logging_0642/kartor/A 1221-2026 karta.png", "A 1221-2026")</f>
        <v/>
      </c>
      <c r="Y23">
        <f>HYPERLINK("https://klasma.github.io/Logging_0642/kartor_geotiff/A 1221-2026 georefererad karta.tif", "A 1221-2026")</f>
        <v/>
      </c>
      <c r="AA23">
        <f>HYPERLINK("https://klasma.github.io/Logging_0642/klagomål/A 1221-2026 FSC-klagomål.docx", "A 1221-2026")</f>
        <v/>
      </c>
      <c r="AB23">
        <f>HYPERLINK("https://klasma.github.io/Logging_0642/klagomålsmail/A 1221-2026 FSC-klagomål mail.docx", "A 1221-2026")</f>
        <v/>
      </c>
      <c r="AC23">
        <f>HYPERLINK("https://klasma.github.io/Logging_0642/tillsyn/A 1221-2026 tillsynsbegäran.docx", "A 1221-2026")</f>
        <v/>
      </c>
      <c r="AD23">
        <f>HYPERLINK("https://klasma.github.io/Logging_0642/tillsynsmail/A 1221-2026 tillsynsbegäran mail.docx", "A 1221-2026")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46267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46267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46267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46267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46267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46267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46267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46267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46267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46267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46267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46267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46267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46267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46267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46267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46267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46267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46267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46267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46267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46267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46267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46267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46267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46267</v>
      </c>
      <c r="F49" t="inlineStr">
        <is>
          <t>JÖNKÖPINGS LÄN</t>
        </is>
      </c>
      <c r="G49" t="inlineStr">
        <is>
          <t>MULLSJÖ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46267</v>
      </c>
      <c r="F50" t="inlineStr">
        <is>
          <t>JÖNKÖPINGS LÄN</t>
        </is>
      </c>
      <c r="G50" t="inlineStr">
        <is>
          <t>MULLSJÖ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46267</v>
      </c>
      <c r="F51" t="inlineStr">
        <is>
          <t>JÖNKÖPINGS LÄN</t>
        </is>
      </c>
      <c r="G51" t="inlineStr">
        <is>
          <t>MULLSJÖ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46267</v>
      </c>
      <c r="F52" t="inlineStr">
        <is>
          <t>JÖNKÖPINGS LÄN</t>
        </is>
      </c>
      <c r="G52" t="inlineStr">
        <is>
          <t>MULLSJÖ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57025-2022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44895</v>
      </c>
      <c r="E53" s="1" t="n">
        <v>46267</v>
      </c>
      <c r="F53" t="inlineStr">
        <is>
          <t>JÖNKÖPINGS LÄN</t>
        </is>
      </c>
      <c r="G53" t="inlineStr">
        <is>
          <t>MULLSJÖ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46267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46267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46267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56145-2022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46267</v>
      </c>
      <c r="F57" t="inlineStr">
        <is>
          <t>JÖNKÖPINGS LÄN</t>
        </is>
      </c>
      <c r="G57" t="inlineStr">
        <is>
          <t>MULLSJÖ</t>
        </is>
      </c>
      <c r="I57" t="n">
        <v>14.1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46267</v>
      </c>
      <c r="F58" t="inlineStr">
        <is>
          <t>JÖNKÖPINGS LÄN</t>
        </is>
      </c>
      <c r="G58" t="inlineStr">
        <is>
          <t>MULLSJÖ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46267</v>
      </c>
      <c r="F59" t="inlineStr">
        <is>
          <t>JÖNKÖPINGS LÄN</t>
        </is>
      </c>
      <c r="G59" t="inlineStr">
        <is>
          <t>MULLSJÖ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33875-2024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45521</v>
      </c>
      <c r="E60" s="1" t="n">
        <v>46267</v>
      </c>
      <c r="F60" t="inlineStr">
        <is>
          <t>JÖNKÖPINGS LÄN</t>
        </is>
      </c>
      <c r="G60" t="inlineStr">
        <is>
          <t>MULLSJÖ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46267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14226-2024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45393</v>
      </c>
      <c r="E62" s="1" t="n">
        <v>46267</v>
      </c>
      <c r="F62" t="inlineStr">
        <is>
          <t>JÖNKÖPINGS LÄN</t>
        </is>
      </c>
      <c r="G62" t="inlineStr">
        <is>
          <t>MULLSJÖ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46267</v>
      </c>
      <c r="F63" t="inlineStr">
        <is>
          <t>JÖNKÖPINGS LÄN</t>
        </is>
      </c>
      <c r="G63" t="inlineStr">
        <is>
          <t>MULLSJÖ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46267</v>
      </c>
      <c r="F64" t="inlineStr">
        <is>
          <t>JÖNKÖPINGS LÄN</t>
        </is>
      </c>
      <c r="G64" t="inlineStr">
        <is>
          <t>MULLSJÖ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46267</v>
      </c>
      <c r="F65" t="inlineStr">
        <is>
          <t>JÖNKÖPINGS LÄN</t>
        </is>
      </c>
      <c r="G65" t="inlineStr">
        <is>
          <t>MULLSJÖ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46267</v>
      </c>
      <c r="F66" t="inlineStr">
        <is>
          <t>JÖNKÖPINGS LÄN</t>
        </is>
      </c>
      <c r="G66" t="inlineStr">
        <is>
          <t>MULLSJÖ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44656</v>
      </c>
      <c r="E67" s="1" t="n">
        <v>46267</v>
      </c>
      <c r="F67" t="inlineStr">
        <is>
          <t>JÖNKÖPINGS LÄN</t>
        </is>
      </c>
      <c r="G67" t="inlineStr">
        <is>
          <t>MULLSJÖ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45904</v>
      </c>
      <c r="E68" s="1" t="n">
        <v>46267</v>
      </c>
      <c r="F68" t="inlineStr">
        <is>
          <t>JÖNKÖPINGS LÄN</t>
        </is>
      </c>
      <c r="G68" t="inlineStr">
        <is>
          <t>MULLSJÖ</t>
        </is>
      </c>
      <c r="H68" t="inlineStr">
        <is>
          <t>Kyrkan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44707</v>
      </c>
      <c r="E69" s="1" t="n">
        <v>46267</v>
      </c>
      <c r="F69" t="inlineStr">
        <is>
          <t>JÖNKÖPINGS LÄN</t>
        </is>
      </c>
      <c r="G69" t="inlineStr">
        <is>
          <t>MULLSJÖ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46267</v>
      </c>
      <c r="F70" t="inlineStr">
        <is>
          <t>JÖNKÖPINGS LÄN</t>
        </is>
      </c>
      <c r="G70" t="inlineStr">
        <is>
          <t>MULLSJÖ</t>
        </is>
      </c>
      <c r="I70" t="n">
        <v>15.1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46267</v>
      </c>
      <c r="F71" t="inlineStr">
        <is>
          <t>JÖNKÖPINGS LÄN</t>
        </is>
      </c>
      <c r="G71" t="inlineStr">
        <is>
          <t>MULLSJÖ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46267</v>
      </c>
      <c r="F72" t="inlineStr">
        <is>
          <t>JÖNKÖPINGS LÄN</t>
        </is>
      </c>
      <c r="G72" t="inlineStr">
        <is>
          <t>MULLSJÖ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12273-2023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44998</v>
      </c>
      <c r="E73" s="1" t="n">
        <v>46267</v>
      </c>
      <c r="F73" t="inlineStr">
        <is>
          <t>JÖNKÖPINGS LÄN</t>
        </is>
      </c>
      <c r="G73" t="inlineStr">
        <is>
          <t>MULLSJÖ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46267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46267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46267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46267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46267</v>
      </c>
      <c r="F78" t="inlineStr">
        <is>
          <t>JÖNKÖPINGS LÄN</t>
        </is>
      </c>
      <c r="G78" t="inlineStr">
        <is>
          <t>MULLSJÖ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46267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46267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46267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46267</v>
      </c>
      <c r="F82" t="inlineStr">
        <is>
          <t>JÖNKÖPINGS LÄN</t>
        </is>
      </c>
      <c r="G82" t="inlineStr">
        <is>
          <t>MULLSJÖ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46267</v>
      </c>
      <c r="F83" t="inlineStr">
        <is>
          <t>JÖNKÖPINGS LÄN</t>
        </is>
      </c>
      <c r="G83" t="inlineStr">
        <is>
          <t>MULLSJÖ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46267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46267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46267</v>
      </c>
      <c r="F86" t="inlineStr">
        <is>
          <t>JÖNKÖPINGS LÄN</t>
        </is>
      </c>
      <c r="G86" t="inlineStr">
        <is>
          <t>MULLSJÖ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46267</v>
      </c>
      <c r="F87" t="inlineStr">
        <is>
          <t>JÖNKÖPINGS LÄN</t>
        </is>
      </c>
      <c r="G87" t="inlineStr">
        <is>
          <t>MULLSJÖ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46267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16573-2025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45752</v>
      </c>
      <c r="E89" s="1" t="n">
        <v>46267</v>
      </c>
      <c r="F89" t="inlineStr">
        <is>
          <t>JÖNKÖPINGS LÄN</t>
        </is>
      </c>
      <c r="G89" t="inlineStr">
        <is>
          <t>MULLSJÖ</t>
        </is>
      </c>
      <c r="I89" t="n">
        <v>9.6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40960-2023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46267</v>
      </c>
      <c r="F90" t="inlineStr">
        <is>
          <t>JÖNKÖPINGS LÄN</t>
        </is>
      </c>
      <c r="G90" t="inlineStr">
        <is>
          <t>MULLSJÖ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46267</v>
      </c>
      <c r="F91" t="inlineStr">
        <is>
          <t>JÖNKÖPINGS LÄN</t>
        </is>
      </c>
      <c r="G91" t="inlineStr">
        <is>
          <t>MULLSJÖ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46267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46267</v>
      </c>
      <c r="F93" t="inlineStr">
        <is>
          <t>JÖNKÖPINGS LÄN</t>
        </is>
      </c>
      <c r="G93" t="inlineStr">
        <is>
          <t>MULLSJÖ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45752</v>
      </c>
      <c r="E94" s="1" t="n">
        <v>46267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45752</v>
      </c>
      <c r="E95" s="1" t="n">
        <v>46267</v>
      </c>
      <c r="F95" t="inlineStr">
        <is>
          <t>JÖNKÖPINGS LÄN</t>
        </is>
      </c>
      <c r="G95" t="inlineStr">
        <is>
          <t>MULLSJÖ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46267</v>
      </c>
      <c r="F96" t="inlineStr">
        <is>
          <t>JÖNKÖPINGS LÄN</t>
        </is>
      </c>
      <c r="G96" t="inlineStr">
        <is>
          <t>MULLSJÖ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30641-2024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45495</v>
      </c>
      <c r="E97" s="1" t="n">
        <v>46267</v>
      </c>
      <c r="F97" t="inlineStr">
        <is>
          <t>JÖNKÖPINGS LÄN</t>
        </is>
      </c>
      <c r="G97" t="inlineStr">
        <is>
          <t>MULLSJÖ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12351-2026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46088</v>
      </c>
      <c r="E98" s="1" t="n">
        <v>46267</v>
      </c>
      <c r="F98" t="inlineStr">
        <is>
          <t>JÖNKÖPINGS LÄN</t>
        </is>
      </c>
      <c r="G98" t="inlineStr">
        <is>
          <t>MULLSJÖ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45313</v>
      </c>
      <c r="E99" s="1" t="n">
        <v>46267</v>
      </c>
      <c r="F99" t="inlineStr">
        <is>
          <t>JÖNKÖPINGS LÄN</t>
        </is>
      </c>
      <c r="G99" t="inlineStr">
        <is>
          <t>MULLSJÖ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44954</v>
      </c>
      <c r="E100" s="1" t="n">
        <v>46267</v>
      </c>
      <c r="F100" t="inlineStr">
        <is>
          <t>JÖNKÖPINGS LÄN</t>
        </is>
      </c>
      <c r="G100" t="inlineStr">
        <is>
          <t>MULLSJÖ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62586-2025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46007</v>
      </c>
      <c r="E101" s="1" t="n">
        <v>46267</v>
      </c>
      <c r="F101" t="inlineStr">
        <is>
          <t>JÖNKÖPINGS LÄN</t>
        </is>
      </c>
      <c r="G101" t="inlineStr">
        <is>
          <t>MULLSJÖ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46267</v>
      </c>
      <c r="F102" t="inlineStr">
        <is>
          <t>JÖNKÖPINGS LÄN</t>
        </is>
      </c>
      <c r="G102" t="inlineStr">
        <is>
          <t>MULLSJÖ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46267</v>
      </c>
      <c r="F103" t="inlineStr">
        <is>
          <t>JÖNKÖPINGS LÄN</t>
        </is>
      </c>
      <c r="G103" t="inlineStr">
        <is>
          <t>MULLSJÖ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46267</v>
      </c>
      <c r="F104" t="inlineStr">
        <is>
          <t>JÖNKÖPINGS LÄN</t>
        </is>
      </c>
      <c r="G104" t="inlineStr">
        <is>
          <t>MULLSJÖ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46267</v>
      </c>
      <c r="F105" t="inlineStr">
        <is>
          <t>JÖNKÖPINGS LÄN</t>
        </is>
      </c>
      <c r="G105" t="inlineStr">
        <is>
          <t>MULLSJÖ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46267</v>
      </c>
      <c r="F106" t="inlineStr">
        <is>
          <t>JÖNKÖPINGS LÄN</t>
        </is>
      </c>
      <c r="G106" t="inlineStr">
        <is>
          <t>MULLSJÖ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45305</v>
      </c>
      <c r="E107" s="1" t="n">
        <v>46267</v>
      </c>
      <c r="F107" t="inlineStr">
        <is>
          <t>JÖNKÖPINGS LÄN</t>
        </is>
      </c>
      <c r="G107" t="inlineStr">
        <is>
          <t>MULLSJÖ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46267</v>
      </c>
      <c r="F108" t="inlineStr">
        <is>
          <t>JÖNKÖPINGS LÄN</t>
        </is>
      </c>
      <c r="G108" t="inlineStr">
        <is>
          <t>MULLSJÖ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45048</v>
      </c>
      <c r="E109" s="1" t="n">
        <v>46267</v>
      </c>
      <c r="F109" t="inlineStr">
        <is>
          <t>JÖNKÖPINGS LÄN</t>
        </is>
      </c>
      <c r="G109" t="inlineStr">
        <is>
          <t>MULLSJÖ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45401</v>
      </c>
      <c r="E110" s="1" t="n">
        <v>46267</v>
      </c>
      <c r="F110" t="inlineStr">
        <is>
          <t>JÖNKÖPINGS LÄN</t>
        </is>
      </c>
      <c r="G110" t="inlineStr">
        <is>
          <t>MULLSJÖ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45543</v>
      </c>
      <c r="E111" s="1" t="n">
        <v>46267</v>
      </c>
      <c r="F111" t="inlineStr">
        <is>
          <t>JÖNKÖPINGS LÄN</t>
        </is>
      </c>
      <c r="G111" t="inlineStr">
        <is>
          <t>MULLSJÖ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45543</v>
      </c>
      <c r="E112" s="1" t="n">
        <v>46267</v>
      </c>
      <c r="F112" t="inlineStr">
        <is>
          <t>JÖNKÖPINGS LÄN</t>
        </is>
      </c>
      <c r="G112" t="inlineStr">
        <is>
          <t>MULLSJÖ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46267</v>
      </c>
      <c r="F113" t="inlineStr">
        <is>
          <t>JÖNKÖPINGS LÄN</t>
        </is>
      </c>
      <c r="G113" t="inlineStr">
        <is>
          <t>MULLSJÖ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18421-2026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46126</v>
      </c>
      <c r="E114" s="1" t="n">
        <v>46267</v>
      </c>
      <c r="F114" t="inlineStr">
        <is>
          <t>JÖNKÖPINGS LÄN</t>
        </is>
      </c>
      <c r="G114" t="inlineStr">
        <is>
          <t>MULLSJÖ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46267</v>
      </c>
      <c r="F115" t="inlineStr">
        <is>
          <t>JÖNKÖPINGS LÄN</t>
        </is>
      </c>
      <c r="G115" t="inlineStr">
        <is>
          <t>MULLSJÖ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46267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40661-2023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46267</v>
      </c>
      <c r="F117" t="inlineStr">
        <is>
          <t>JÖNKÖPINGS LÄN</t>
        </is>
      </c>
      <c r="G117" t="inlineStr">
        <is>
          <t>MULLSJÖ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46267</v>
      </c>
      <c r="F118" t="inlineStr">
        <is>
          <t>JÖNKÖPINGS LÄN</t>
        </is>
      </c>
      <c r="G118" t="inlineStr">
        <is>
          <t>MULLSJÖ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45682</v>
      </c>
      <c r="E119" s="1" t="n">
        <v>46267</v>
      </c>
      <c r="F119" t="inlineStr">
        <is>
          <t>JÖNKÖPINGS LÄN</t>
        </is>
      </c>
      <c r="G119" t="inlineStr">
        <is>
          <t>MULLSJÖ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46267</v>
      </c>
      <c r="F120" t="inlineStr">
        <is>
          <t>JÖNKÖPINGS LÄN</t>
        </is>
      </c>
      <c r="G120" t="inlineStr">
        <is>
          <t>MULLSJÖ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45686</v>
      </c>
      <c r="E121" s="1" t="n">
        <v>46267</v>
      </c>
      <c r="F121" t="inlineStr">
        <is>
          <t>JÖNKÖPINGS LÄN</t>
        </is>
      </c>
      <c r="G121" t="inlineStr">
        <is>
          <t>MULLSJÖ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44607</v>
      </c>
      <c r="E122" s="1" t="n">
        <v>46267</v>
      </c>
      <c r="F122" t="inlineStr">
        <is>
          <t>JÖNKÖPINGS LÄN</t>
        </is>
      </c>
      <c r="G122" t="inlineStr">
        <is>
          <t>MULLSJÖ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46267</v>
      </c>
      <c r="F123" t="inlineStr">
        <is>
          <t>JÖNKÖPINGS LÄN</t>
        </is>
      </c>
      <c r="G123" t="inlineStr">
        <is>
          <t>MULLSJÖ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46267</v>
      </c>
      <c r="F124" t="inlineStr">
        <is>
          <t>JÖNKÖPINGS LÄN</t>
        </is>
      </c>
      <c r="G124" t="inlineStr">
        <is>
          <t>MULLSJÖ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46267</v>
      </c>
      <c r="F125" t="inlineStr">
        <is>
          <t>JÖNKÖPINGS LÄN</t>
        </is>
      </c>
      <c r="G125" t="inlineStr">
        <is>
          <t>MULLSJÖ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45214</v>
      </c>
      <c r="E126" s="1" t="n">
        <v>46267</v>
      </c>
      <c r="F126" t="inlineStr">
        <is>
          <t>JÖNKÖPINGS LÄN</t>
        </is>
      </c>
      <c r="G126" t="inlineStr">
        <is>
          <t>MULLSJÖ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46267</v>
      </c>
      <c r="F127" t="inlineStr">
        <is>
          <t>JÖNKÖPINGS LÄN</t>
        </is>
      </c>
      <c r="G127" t="inlineStr">
        <is>
          <t>MULLSJÖ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16350-2022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44670</v>
      </c>
      <c r="E128" s="1" t="n">
        <v>46267</v>
      </c>
      <c r="F128" t="inlineStr">
        <is>
          <t>JÖNKÖPINGS LÄN</t>
        </is>
      </c>
      <c r="G128" t="inlineStr">
        <is>
          <t>MULLSJÖ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46267</v>
      </c>
      <c r="F129" t="inlineStr">
        <is>
          <t>JÖNKÖPINGS LÄN</t>
        </is>
      </c>
      <c r="G129" t="inlineStr">
        <is>
          <t>MULLSJÖ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46267</v>
      </c>
      <c r="F130" t="inlineStr">
        <is>
          <t>JÖNKÖPINGS LÄN</t>
        </is>
      </c>
      <c r="G130" t="inlineStr">
        <is>
          <t>MULLSJÖ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45083</v>
      </c>
      <c r="E131" s="1" t="n">
        <v>46267</v>
      </c>
      <c r="F131" t="inlineStr">
        <is>
          <t>JÖNKÖPINGS LÄN</t>
        </is>
      </c>
      <c r="G131" t="inlineStr">
        <is>
          <t>MULLSJÖ</t>
        </is>
      </c>
      <c r="I131" t="n">
        <v>13.1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46267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46267</v>
      </c>
      <c r="F133" t="inlineStr">
        <is>
          <t>JÖNKÖPINGS LÄN</t>
        </is>
      </c>
      <c r="G133" t="inlineStr">
        <is>
          <t>MULLSJÖ</t>
        </is>
      </c>
      <c r="H133" t="inlineStr">
        <is>
          <t>Kyrkan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46267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44966</v>
      </c>
      <c r="E135" s="1" t="n">
        <v>46267</v>
      </c>
      <c r="F135" t="inlineStr">
        <is>
          <t>JÖNKÖPINGS LÄN</t>
        </is>
      </c>
      <c r="G135" t="inlineStr">
        <is>
          <t>MULLSJÖ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46267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46267</v>
      </c>
      <c r="F137" t="inlineStr">
        <is>
          <t>JÖNKÖPINGS LÄN</t>
        </is>
      </c>
      <c r="G137" t="inlineStr">
        <is>
          <t>MULLSJÖ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44954</v>
      </c>
      <c r="E138" s="1" t="n">
        <v>46267</v>
      </c>
      <c r="F138" t="inlineStr">
        <is>
          <t>JÖNKÖPINGS LÄN</t>
        </is>
      </c>
      <c r="G138" t="inlineStr">
        <is>
          <t>MULLSJÖ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46267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46267</v>
      </c>
      <c r="F140" t="inlineStr">
        <is>
          <t>JÖNKÖPINGS LÄN</t>
        </is>
      </c>
      <c r="G140" t="inlineStr">
        <is>
          <t>MULLSJÖ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46267</v>
      </c>
      <c r="F141" t="inlineStr">
        <is>
          <t>JÖNKÖPINGS LÄN</t>
        </is>
      </c>
      <c r="G141" t="inlineStr">
        <is>
          <t>MULLSJÖ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46267</v>
      </c>
      <c r="F142" t="inlineStr">
        <is>
          <t>JÖNKÖPINGS LÄN</t>
        </is>
      </c>
      <c r="G142" t="inlineStr">
        <is>
          <t>MULLSJÖ</t>
        </is>
      </c>
      <c r="H142" t="inlineStr">
        <is>
          <t>Kommuner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  <c r="Z142">
        <f>HYPERLINK("https://klasma.github.io/Logging_0642/knärot/A 7181-2023 karta knärot.png", "A 7181-2023")</f>
        <v/>
      </c>
      <c r="AA142">
        <f>HYPERLINK("https://klasma.github.io/Logging_0642/klagomål/A 7181-2023 FSC-klagomål.docx", "A 7181-2023")</f>
        <v/>
      </c>
      <c r="AB142">
        <f>HYPERLINK("https://klasma.github.io/Logging_0642/klagomålsmail/A 7181-2023 FSC-klagomål mail.docx", "A 7181-2023")</f>
        <v/>
      </c>
      <c r="AC142">
        <f>HYPERLINK("https://klasma.github.io/Logging_0642/tillsyn/A 7181-2023 tillsynsbegäran.docx", "A 7181-2023")</f>
        <v/>
      </c>
      <c r="AD142">
        <f>HYPERLINK("https://klasma.github.io/Logging_0642/tillsynsmail/A 7181-2023 tillsynsbegäran mail.docx", "A 7181-2023")</f>
        <v/>
      </c>
    </row>
    <row r="143" ht="15" customHeight="1">
      <c r="A143" t="inlineStr">
        <is>
          <t>A 28605-2023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46267</v>
      </c>
      <c r="F143" t="inlineStr">
        <is>
          <t>JÖNKÖPINGS LÄN</t>
        </is>
      </c>
      <c r="G143" t="inlineStr">
        <is>
          <t>MULLSJÖ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71048-2021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44538</v>
      </c>
      <c r="E144" s="1" t="n">
        <v>46267</v>
      </c>
      <c r="F144" t="inlineStr">
        <is>
          <t>JÖNKÖPINGS LÄN</t>
        </is>
      </c>
      <c r="G144" t="inlineStr">
        <is>
          <t>MULLSJÖ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56876-2023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45244</v>
      </c>
      <c r="E145" s="1" t="n">
        <v>46267</v>
      </c>
      <c r="F145" t="inlineStr">
        <is>
          <t>JÖNKÖPINGS LÄN</t>
        </is>
      </c>
      <c r="G145" t="inlineStr">
        <is>
          <t>MULLSJÖ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46267</v>
      </c>
      <c r="F146" t="inlineStr">
        <is>
          <t>JÖNKÖPINGS LÄN</t>
        </is>
      </c>
      <c r="G146" t="inlineStr">
        <is>
          <t>MULLSJÖ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44954</v>
      </c>
      <c r="E147" s="1" t="n">
        <v>46267</v>
      </c>
      <c r="F147" t="inlineStr">
        <is>
          <t>JÖNKÖPINGS LÄN</t>
        </is>
      </c>
      <c r="G147" t="inlineStr">
        <is>
          <t>MULLSJÖ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46267</v>
      </c>
      <c r="F148" t="inlineStr">
        <is>
          <t>JÖNKÖPINGS LÄN</t>
        </is>
      </c>
      <c r="G148" t="inlineStr">
        <is>
          <t>MULLSJÖ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45755</v>
      </c>
      <c r="E149" s="1" t="n">
        <v>46267</v>
      </c>
      <c r="F149" t="inlineStr">
        <is>
          <t>JÖNKÖPINGS LÄN</t>
        </is>
      </c>
      <c r="G149" t="inlineStr">
        <is>
          <t>MULLSJÖ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45755</v>
      </c>
      <c r="E150" s="1" t="n">
        <v>46267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46267</v>
      </c>
      <c r="F151" t="inlineStr">
        <is>
          <t>JÖNKÖPINGS LÄN</t>
        </is>
      </c>
      <c r="G151" t="inlineStr">
        <is>
          <t>MULLSJÖ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45446</v>
      </c>
      <c r="E152" s="1" t="n">
        <v>46267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46267</v>
      </c>
      <c r="F153" t="inlineStr">
        <is>
          <t>JÖNKÖPINGS LÄN</t>
        </is>
      </c>
      <c r="G153" t="inlineStr">
        <is>
          <t>MULLSJÖ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46267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45676</v>
      </c>
      <c r="E155" s="1" t="n">
        <v>46267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46240</v>
      </c>
      <c r="E156" s="1" t="n">
        <v>46267</v>
      </c>
      <c r="F156" t="inlineStr">
        <is>
          <t>JÖNKÖPINGS LÄN</t>
        </is>
      </c>
      <c r="G156" t="inlineStr">
        <is>
          <t>MULLSJÖ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46267</v>
      </c>
      <c r="F157" t="inlineStr">
        <is>
          <t>JÖNKÖPINGS LÄN</t>
        </is>
      </c>
      <c r="G157" t="inlineStr">
        <is>
          <t>MULLSJÖ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46267</v>
      </c>
      <c r="F158" t="inlineStr">
        <is>
          <t>JÖNKÖPINGS LÄN</t>
        </is>
      </c>
      <c r="G158" t="inlineStr">
        <is>
          <t>MULLSJÖ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27549-2022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46267</v>
      </c>
      <c r="F159" t="inlineStr">
        <is>
          <t>JÖNKÖPINGS LÄN</t>
        </is>
      </c>
      <c r="G159" t="inlineStr">
        <is>
          <t>MULLSJÖ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44700</v>
      </c>
      <c r="E160" s="1" t="n">
        <v>46267</v>
      </c>
      <c r="F160" t="inlineStr">
        <is>
          <t>JÖNKÖPINGS LÄN</t>
        </is>
      </c>
      <c r="G160" t="inlineStr">
        <is>
          <t>MULLSJÖ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46267</v>
      </c>
      <c r="F161" t="inlineStr">
        <is>
          <t>JÖNKÖPINGS LÄN</t>
        </is>
      </c>
      <c r="G161" t="inlineStr">
        <is>
          <t>MULLSJÖ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64387-2023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46267</v>
      </c>
      <c r="F162" t="inlineStr">
        <is>
          <t>JÖNKÖPINGS LÄN</t>
        </is>
      </c>
      <c r="G162" t="inlineStr">
        <is>
          <t>MULLSJÖ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46267</v>
      </c>
      <c r="F163" t="inlineStr">
        <is>
          <t>JÖNKÖPINGS LÄN</t>
        </is>
      </c>
      <c r="G163" t="inlineStr">
        <is>
          <t>MULLSJÖ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46267</v>
      </c>
      <c r="F164" t="inlineStr">
        <is>
          <t>JÖNKÖPINGS LÄN</t>
        </is>
      </c>
      <c r="G164" t="inlineStr">
        <is>
          <t>MULLSJÖ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46267</v>
      </c>
      <c r="F165" t="inlineStr">
        <is>
          <t>JÖNKÖPINGS LÄN</t>
        </is>
      </c>
      <c r="G165" t="inlineStr">
        <is>
          <t>MULLSJÖ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46216</v>
      </c>
      <c r="E166" s="1" t="n">
        <v>46267</v>
      </c>
      <c r="F166" t="inlineStr">
        <is>
          <t>JÖNKÖPINGS LÄN</t>
        </is>
      </c>
      <c r="G166" t="inlineStr">
        <is>
          <t>MULLSJÖ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45484</v>
      </c>
      <c r="E167" s="1" t="n">
        <v>46267</v>
      </c>
      <c r="F167" t="inlineStr">
        <is>
          <t>JÖNKÖPINGS LÄN</t>
        </is>
      </c>
      <c r="G167" t="inlineStr">
        <is>
          <t>MULLSJÖ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46267</v>
      </c>
      <c r="F168" t="inlineStr">
        <is>
          <t>JÖNKÖPINGS LÄN</t>
        </is>
      </c>
      <c r="G168" t="inlineStr">
        <is>
          <t>MULLSJÖ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46267</v>
      </c>
      <c r="F169" t="inlineStr">
        <is>
          <t>JÖNKÖPINGS LÄN</t>
        </is>
      </c>
      <c r="G169" t="inlineStr">
        <is>
          <t>MULLSJÖ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46267</v>
      </c>
      <c r="F170" t="inlineStr">
        <is>
          <t>JÖNKÖPINGS LÄN</t>
        </is>
      </c>
      <c r="G170" t="inlineStr">
        <is>
          <t>MULLSJÖ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46267</v>
      </c>
      <c r="F171" t="inlineStr">
        <is>
          <t>JÖNKÖPINGS LÄN</t>
        </is>
      </c>
      <c r="G171" t="inlineStr">
        <is>
          <t>MULLSJÖ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46267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46267</v>
      </c>
      <c r="F173" t="inlineStr">
        <is>
          <t>JÖNKÖPINGS LÄN</t>
        </is>
      </c>
      <c r="G173" t="inlineStr">
        <is>
          <t>MULLSJÖ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46267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46267</v>
      </c>
      <c r="F175" t="inlineStr">
        <is>
          <t>JÖNKÖPINGS LÄN</t>
        </is>
      </c>
      <c r="G175" t="inlineStr">
        <is>
          <t>MULLSJÖ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3179-2024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45524</v>
      </c>
      <c r="E176" s="1" t="n">
        <v>46267</v>
      </c>
      <c r="F176" t="inlineStr">
        <is>
          <t>JÖNKÖPINGS LÄN</t>
        </is>
      </c>
      <c r="G176" t="inlineStr">
        <is>
          <t>MULLSJÖ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4371-2024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45587</v>
      </c>
      <c r="E177" s="1" t="n">
        <v>46267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1255-2025</t>
        </is>
      </c>
      <c r="B178" t="inlineStr">
        <is>
          <t>samrådsanmälan</t>
        </is>
      </c>
      <c r="C178" t="inlineStr">
        <is>
          <t>Askåterföring</t>
        </is>
      </c>
      <c r="D178" s="1" t="n">
        <v>45763</v>
      </c>
      <c r="E178" s="1" t="n">
        <v>46267</v>
      </c>
      <c r="F178" t="inlineStr">
        <is>
          <t>JÖNKÖPINGS LÄN</t>
        </is>
      </c>
      <c r="G178" t="inlineStr">
        <is>
          <t>MULLSJÖ</t>
        </is>
      </c>
      <c r="I178" t="n">
        <v>35.7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2026-09-02T02:06:10Z</dcterms:created>
  <dcterms:modified xmlns:dcterms="http://purl.org/dc/terms/" xmlns:xsi="http://www.w3.org/2001/XMLSchema-instance" xsi:type="dcterms:W3CDTF">2026-09-02T02:06:11Z</dcterms:modified>
</cp:coreProperties>
</file>