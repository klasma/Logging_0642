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46299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46299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46299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46299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46299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46299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46299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46299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46299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46299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46299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46299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1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56244-2022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44890</v>
      </c>
      <c r="E20" s="1" t="n">
        <v>46299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HYPERLINK("https://klasma.github.io/Logging_0642/artfynd/A 56244-2022 artfynd.xlsx", "A 56244-2022")</f>
        <v/>
      </c>
      <c r="X20">
        <f>HYPERLINK("https://klasma.github.io/Logging_0642/kartor/A 56244-2022 karta.png", "A 56244-2022")</f>
        <v/>
      </c>
      <c r="Y20">
        <f>HYPERLINK("https://klasma.github.io/Logging_0642/kartor_geotiff/A 56244-2022 georefererad karta.tif", "A 56244-2022")</f>
        <v/>
      </c>
      <c r="AA20">
        <f>HYPERLINK("https://klasma.github.io/Logging_0642/klagomål/A 56244-2022 FSC-klagomål.docx", "A 56244-2022")</f>
        <v/>
      </c>
      <c r="AB20">
        <f>HYPERLINK("https://klasma.github.io/Logging_0642/klagomålsmail/A 56244-2022 FSC-klagomål mail.docx", "A 56244-2022")</f>
        <v/>
      </c>
      <c r="AC20">
        <f>HYPERLINK("https://klasma.github.io/Logging_0642/tillsyn/A 56244-2022 tillsynsbegäran.docx", "A 56244-2022")</f>
        <v/>
      </c>
      <c r="AD20">
        <f>HYPERLINK("https://klasma.github.io/Logging_0642/tillsynsmail/A 56244-2022 tillsynsbegäran mail.docx", "A 56244-2022")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46299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46299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46299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15498-2024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46299</v>
      </c>
      <c r="F24" t="inlineStr">
        <is>
          <t>JÖNKÖPINGS LÄN</t>
        </is>
      </c>
      <c r="G24" t="inlineStr">
        <is>
          <t>MULLSJÖ</t>
        </is>
      </c>
      <c r="H24" t="inlineStr">
        <is>
          <t>Kyrkan</t>
        </is>
      </c>
      <c r="I24" t="n">
        <v>4.8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HYPERLINK("https://klasma.github.io/Logging_0642/artfynd/A 15498-2024 artfynd.xlsx", "A 15498-2024")</f>
        <v/>
      </c>
      <c r="X24">
        <f>HYPERLINK("https://klasma.github.io/Logging_0642/kartor/A 15498-2024 karta.png", "A 15498-2024")</f>
        <v/>
      </c>
      <c r="Y24">
        <f>HYPERLINK("https://klasma.github.io/Logging_0642/kartor_geotiff/A 15498-2024 georefererad karta.tif", "A 15498-2024")</f>
        <v/>
      </c>
      <c r="Z24">
        <f>HYPERLINK("https://klasma.github.io/Logging_0642/knärot/A 15498-2024 karta knärot.png", "A 15498-2024")</f>
        <v/>
      </c>
      <c r="AA24">
        <f>HYPERLINK("https://klasma.github.io/Logging_0642/klagomål/A 15498-2024 FSC-klagomål.docx", "A 15498-2024")</f>
        <v/>
      </c>
      <c r="AB24">
        <f>HYPERLINK("https://klasma.github.io/Logging_0642/klagomålsmail/A 15498-2024 FSC-klagomål mail.docx", "A 15498-2024")</f>
        <v/>
      </c>
      <c r="AC24">
        <f>HYPERLINK("https://klasma.github.io/Logging_0642/tillsyn/A 15498-2024 tillsynsbegäran.docx", "A 15498-2024")</f>
        <v/>
      </c>
      <c r="AD24">
        <f>HYPERLINK("https://klasma.github.io/Logging_0642/tillsynsmail/A 15498-2024 tillsynsbegäran mail.docx", "A 15498-2024")</f>
        <v/>
      </c>
    </row>
    <row r="25" ht="15" customHeight="1">
      <c r="A25" t="inlineStr">
        <is>
          <t>A 46006-2022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46299</v>
      </c>
      <c r="F25" t="inlineStr">
        <is>
          <t>JÖNKÖPINGS LÄN</t>
        </is>
      </c>
      <c r="G25" t="inlineStr">
        <is>
          <t>MULLSJÖ</t>
        </is>
      </c>
      <c r="I25" t="n">
        <v>3.4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HYPERLINK("https://klasma.github.io/Logging_0642/artfynd/A 46006-2022 artfynd.xlsx", "A 46006-2022")</f>
        <v/>
      </c>
      <c r="X25">
        <f>HYPERLINK("https://klasma.github.io/Logging_0642/kartor/A 46006-2022 karta.png", "A 46006-2022")</f>
        <v/>
      </c>
      <c r="Y25">
        <f>HYPERLINK("https://klasma.github.io/Logging_0642/kartor_geotiff/A 46006-2022 georefererad karta.tif", "A 46006-2022")</f>
        <v/>
      </c>
      <c r="AA25">
        <f>HYPERLINK("https://klasma.github.io/Logging_0642/klagomål/A 46006-2022 FSC-klagomål.docx", "A 46006-2022")</f>
        <v/>
      </c>
      <c r="AB25">
        <f>HYPERLINK("https://klasma.github.io/Logging_0642/klagomålsmail/A 46006-2022 FSC-klagomål mail.docx", "A 46006-2022")</f>
        <v/>
      </c>
      <c r="AC25">
        <f>HYPERLINK("https://klasma.github.io/Logging_0642/tillsyn/A 46006-2022 tillsynsbegäran.docx", "A 46006-2022")</f>
        <v/>
      </c>
      <c r="AD25">
        <f>HYPERLINK("https://klasma.github.io/Logging_0642/tillsynsmail/A 46006-2022 tillsynsbegäran mail.docx", "A 46006-2022")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46299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46299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46299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46299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46299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46299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46299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46299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46299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46299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46299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46299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46299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46299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46299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46299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46299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46299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46299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46299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46299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28791-2024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45478</v>
      </c>
      <c r="E48" s="1" t="n">
        <v>46299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46299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46299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46299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46299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62586-2025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46007</v>
      </c>
      <c r="E53" s="1" t="n">
        <v>46299</v>
      </c>
      <c r="F53" t="inlineStr">
        <is>
          <t>JÖNKÖPINGS LÄN</t>
        </is>
      </c>
      <c r="G53" t="inlineStr">
        <is>
          <t>MULLSJÖ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62956-2025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46009</v>
      </c>
      <c r="E54" s="1" t="n">
        <v>46299</v>
      </c>
      <c r="F54" t="inlineStr">
        <is>
          <t>JÖNKÖPINGS LÄN</t>
        </is>
      </c>
      <c r="G54" t="inlineStr">
        <is>
          <t>MULLSJÖ</t>
        </is>
      </c>
      <c r="I54" t="n">
        <v>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46299</v>
      </c>
      <c r="F55" t="inlineStr">
        <is>
          <t>JÖNKÖPINGS LÄN</t>
        </is>
      </c>
      <c r="G55" t="inlineStr">
        <is>
          <t>MULLSJÖ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29527-2024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45484</v>
      </c>
      <c r="E56" s="1" t="n">
        <v>46299</v>
      </c>
      <c r="F56" t="inlineStr">
        <is>
          <t>JÖNKÖPINGS LÄN</t>
        </is>
      </c>
      <c r="G56" t="inlineStr">
        <is>
          <t>MULLSJÖ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15707-2025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45748</v>
      </c>
      <c r="E57" s="1" t="n">
        <v>46299</v>
      </c>
      <c r="F57" t="inlineStr">
        <is>
          <t>JÖNKÖPINGS LÄN</t>
        </is>
      </c>
      <c r="G57" t="inlineStr">
        <is>
          <t>MULLSJÖ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46299</v>
      </c>
      <c r="F58" t="inlineStr">
        <is>
          <t>JÖNKÖPINGS LÄN</t>
        </is>
      </c>
      <c r="G58" t="inlineStr">
        <is>
          <t>MULLSJÖ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33875-2024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45521</v>
      </c>
      <c r="E59" s="1" t="n">
        <v>46299</v>
      </c>
      <c r="F59" t="inlineStr">
        <is>
          <t>JÖNKÖPINGS LÄN</t>
        </is>
      </c>
      <c r="G59" t="inlineStr">
        <is>
          <t>MULLSJÖ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46299</v>
      </c>
      <c r="F60" t="inlineStr">
        <is>
          <t>JÖNKÖPINGS LÄN</t>
        </is>
      </c>
      <c r="G60" t="inlineStr">
        <is>
          <t>MULLSJÖ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46031</v>
      </c>
      <c r="E61" s="1" t="n">
        <v>46299</v>
      </c>
      <c r="F61" t="inlineStr">
        <is>
          <t>JÖNKÖPINGS LÄN</t>
        </is>
      </c>
      <c r="G61" t="inlineStr">
        <is>
          <t>MULLSJÖ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59503-2024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46299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46299</v>
      </c>
      <c r="F63" t="inlineStr">
        <is>
          <t>JÖNKÖPINGS LÄN</t>
        </is>
      </c>
      <c r="G63" t="inlineStr">
        <is>
          <t>MULLSJÖ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6690-2023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44966</v>
      </c>
      <c r="E64" s="1" t="n">
        <v>46299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46299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46299</v>
      </c>
      <c r="F66" t="inlineStr">
        <is>
          <t>JÖNKÖPINGS LÄN</t>
        </is>
      </c>
      <c r="G66" t="inlineStr">
        <is>
          <t>MULLSJÖ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45797</v>
      </c>
      <c r="E67" s="1" t="n">
        <v>46299</v>
      </c>
      <c r="F67" t="inlineStr">
        <is>
          <t>JÖNKÖPINGS LÄN</t>
        </is>
      </c>
      <c r="G67" t="inlineStr">
        <is>
          <t>MULLSJÖ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46299</v>
      </c>
      <c r="F68" t="inlineStr">
        <is>
          <t>JÖNKÖPINGS LÄN</t>
        </is>
      </c>
      <c r="G68" t="inlineStr">
        <is>
          <t>MULLSJÖ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24439-2025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46299</v>
      </c>
      <c r="F69" t="inlineStr">
        <is>
          <t>JÖNKÖPINGS LÄN</t>
        </is>
      </c>
      <c r="G69" t="inlineStr">
        <is>
          <t>MULLSJÖ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46299</v>
      </c>
      <c r="F70" t="inlineStr">
        <is>
          <t>JÖNKÖPINGS LÄN</t>
        </is>
      </c>
      <c r="G70" t="inlineStr">
        <is>
          <t>MULLSJÖ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40157-2023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46299</v>
      </c>
      <c r="F71" t="inlineStr">
        <is>
          <t>JÖNKÖPINGS LÄN</t>
        </is>
      </c>
      <c r="G71" t="inlineStr">
        <is>
          <t>MULLSJÖ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45529</v>
      </c>
      <c r="E72" s="1" t="n">
        <v>46299</v>
      </c>
      <c r="F72" t="inlineStr">
        <is>
          <t>JÖNKÖPINGS LÄN</t>
        </is>
      </c>
      <c r="G72" t="inlineStr">
        <is>
          <t>MULLSJÖ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46299</v>
      </c>
      <c r="F73" t="inlineStr">
        <is>
          <t>JÖNKÖPINGS LÄN</t>
        </is>
      </c>
      <c r="G73" t="inlineStr">
        <is>
          <t>MULLSJÖ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46299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46299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46299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46299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45686</v>
      </c>
      <c r="E78" s="1" t="n">
        <v>46299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48096-2025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45933</v>
      </c>
      <c r="E79" s="1" t="n">
        <v>46299</v>
      </c>
      <c r="F79" t="inlineStr">
        <is>
          <t>JÖNKÖPINGS LÄN</t>
        </is>
      </c>
      <c r="G79" t="inlineStr">
        <is>
          <t>MULLSJÖ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30641-2024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45495</v>
      </c>
      <c r="E80" s="1" t="n">
        <v>46299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49779-2025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46299</v>
      </c>
      <c r="F81" t="inlineStr">
        <is>
          <t>JÖNKÖPINGS LÄN</t>
        </is>
      </c>
      <c r="G81" t="inlineStr">
        <is>
          <t>MULLSJÖ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44742</v>
      </c>
      <c r="E82" s="1" t="n">
        <v>46299</v>
      </c>
      <c r="F82" t="inlineStr">
        <is>
          <t>JÖNKÖPINGS LÄN</t>
        </is>
      </c>
      <c r="G82" t="inlineStr">
        <is>
          <t>MULLSJÖ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45702</v>
      </c>
      <c r="E83" s="1" t="n">
        <v>46299</v>
      </c>
      <c r="F83" t="inlineStr">
        <is>
          <t>JÖNKÖPINGS LÄN</t>
        </is>
      </c>
      <c r="G83" t="inlineStr">
        <is>
          <t>MULLSJÖ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46299</v>
      </c>
      <c r="F84" t="inlineStr">
        <is>
          <t>JÖNKÖPINGS LÄN</t>
        </is>
      </c>
      <c r="G84" t="inlineStr">
        <is>
          <t>MULLSJÖ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12351-2026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46088</v>
      </c>
      <c r="E85" s="1" t="n">
        <v>46299</v>
      </c>
      <c r="F85" t="inlineStr">
        <is>
          <t>JÖNKÖPINGS LÄN</t>
        </is>
      </c>
      <c r="G85" t="inlineStr">
        <is>
          <t>MULLSJÖ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45048</v>
      </c>
      <c r="E86" s="1" t="n">
        <v>46299</v>
      </c>
      <c r="F86" t="inlineStr">
        <is>
          <t>JÖNKÖPINGS LÄN</t>
        </is>
      </c>
      <c r="G86" t="inlineStr">
        <is>
          <t>MULLSJÖ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44964</v>
      </c>
      <c r="E87" s="1" t="n">
        <v>46299</v>
      </c>
      <c r="F87" t="inlineStr">
        <is>
          <t>JÖNKÖPINGS LÄN</t>
        </is>
      </c>
      <c r="G87" t="inlineStr">
        <is>
          <t>MULLSJÖ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44964</v>
      </c>
      <c r="E88" s="1" t="n">
        <v>46299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46299</v>
      </c>
      <c r="F89" t="inlineStr">
        <is>
          <t>JÖNKÖPINGS LÄN</t>
        </is>
      </c>
      <c r="G89" t="inlineStr">
        <is>
          <t>MULLSJÖ</t>
        </is>
      </c>
      <c r="I89" t="n">
        <v>15.1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46299</v>
      </c>
      <c r="F90" t="inlineStr">
        <is>
          <t>JÖNKÖPINGS LÄN</t>
        </is>
      </c>
      <c r="G90" t="inlineStr">
        <is>
          <t>MULLSJÖ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39990-2024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45553</v>
      </c>
      <c r="E91" s="1" t="n">
        <v>46299</v>
      </c>
      <c r="F91" t="inlineStr">
        <is>
          <t>JÖNKÖPINGS LÄN</t>
        </is>
      </c>
      <c r="G91" t="inlineStr">
        <is>
          <t>MULLSJÖ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14226-2024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45393</v>
      </c>
      <c r="E92" s="1" t="n">
        <v>46299</v>
      </c>
      <c r="F92" t="inlineStr">
        <is>
          <t>JÖNKÖPINGS LÄN</t>
        </is>
      </c>
      <c r="G92" t="inlineStr">
        <is>
          <t>MULLSJÖ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57500-2022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46299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18421-2026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46299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45676</v>
      </c>
      <c r="E95" s="1" t="n">
        <v>46299</v>
      </c>
      <c r="F95" t="inlineStr">
        <is>
          <t>JÖNKÖPINGS LÄN</t>
        </is>
      </c>
      <c r="G95" t="inlineStr">
        <is>
          <t>MULLSJÖ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20671-2022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44700</v>
      </c>
      <c r="E96" s="1" t="n">
        <v>46299</v>
      </c>
      <c r="F96" t="inlineStr">
        <is>
          <t>JÖNKÖPINGS LÄN</t>
        </is>
      </c>
      <c r="G96" t="inlineStr">
        <is>
          <t>MULLSJÖ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44607</v>
      </c>
      <c r="E97" s="1" t="n">
        <v>46299</v>
      </c>
      <c r="F97" t="inlineStr">
        <is>
          <t>JÖNKÖPINGS LÄN</t>
        </is>
      </c>
      <c r="G97" t="inlineStr">
        <is>
          <t>MULLSJÖ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22270-2024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45446</v>
      </c>
      <c r="E98" s="1" t="n">
        <v>46299</v>
      </c>
      <c r="F98" t="inlineStr">
        <is>
          <t>JÖNKÖPINGS LÄN</t>
        </is>
      </c>
      <c r="G98" t="inlineStr">
        <is>
          <t>MULLSJÖ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46299</v>
      </c>
      <c r="F99" t="inlineStr">
        <is>
          <t>JÖNKÖPINGS LÄN</t>
        </is>
      </c>
      <c r="G99" t="inlineStr">
        <is>
          <t>MULLSJÖ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46299</v>
      </c>
      <c r="F100" t="inlineStr">
        <is>
          <t>JÖNKÖPINGS LÄN</t>
        </is>
      </c>
      <c r="G100" t="inlineStr">
        <is>
          <t>MULLSJÖ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45214</v>
      </c>
      <c r="E101" s="1" t="n">
        <v>46299</v>
      </c>
      <c r="F101" t="inlineStr">
        <is>
          <t>JÖNKÖPINGS LÄN</t>
        </is>
      </c>
      <c r="G101" t="inlineStr">
        <is>
          <t>MULLSJÖ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28940-2025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46299</v>
      </c>
      <c r="F102" t="inlineStr">
        <is>
          <t>JÖNKÖPINGS LÄN</t>
        </is>
      </c>
      <c r="G102" t="inlineStr">
        <is>
          <t>MULLSJÖ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45730</v>
      </c>
      <c r="E103" s="1" t="n">
        <v>46299</v>
      </c>
      <c r="F103" t="inlineStr">
        <is>
          <t>JÖNKÖPINGS LÄN</t>
        </is>
      </c>
      <c r="G103" t="inlineStr">
        <is>
          <t>MULLSJÖ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45103</v>
      </c>
      <c r="E104" s="1" t="n">
        <v>46299</v>
      </c>
      <c r="F104" t="inlineStr">
        <is>
          <t>JÖNKÖPINGS LÄN</t>
        </is>
      </c>
      <c r="G104" t="inlineStr">
        <is>
          <t>MULLSJÖ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46299</v>
      </c>
      <c r="F105" t="inlineStr">
        <is>
          <t>JÖNKÖPINGS LÄN</t>
        </is>
      </c>
      <c r="G105" t="inlineStr">
        <is>
          <t>MULLSJÖ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17007-2025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45755</v>
      </c>
      <c r="E106" s="1" t="n">
        <v>46299</v>
      </c>
      <c r="F106" t="inlineStr">
        <is>
          <t>JÖNKÖPINGS LÄN</t>
        </is>
      </c>
      <c r="G106" t="inlineStr">
        <is>
          <t>MULLSJÖ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46299</v>
      </c>
      <c r="F107" t="inlineStr">
        <is>
          <t>JÖNKÖPINGS LÄN</t>
        </is>
      </c>
      <c r="G107" t="inlineStr">
        <is>
          <t>MULLSJÖ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46299</v>
      </c>
      <c r="F108" t="inlineStr">
        <is>
          <t>JÖNKÖPINGS LÄN</t>
        </is>
      </c>
      <c r="G108" t="inlineStr">
        <is>
          <t>MULLSJÖ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46299</v>
      </c>
      <c r="F109" t="inlineStr">
        <is>
          <t>JÖNKÖPINGS LÄN</t>
        </is>
      </c>
      <c r="G109" t="inlineStr">
        <is>
          <t>MULLSJÖ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46299</v>
      </c>
      <c r="F110" t="inlineStr">
        <is>
          <t>JÖNKÖPINGS LÄN</t>
        </is>
      </c>
      <c r="G110" t="inlineStr">
        <is>
          <t>MULLSJÖ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46901-2023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45201</v>
      </c>
      <c r="E111" s="1" t="n">
        <v>46299</v>
      </c>
      <c r="F111" t="inlineStr">
        <is>
          <t>JÖNKÖPINGS LÄN</t>
        </is>
      </c>
      <c r="G111" t="inlineStr">
        <is>
          <t>MULLSJÖ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46299</v>
      </c>
      <c r="F112" t="inlineStr">
        <is>
          <t>JÖNKÖPINGS LÄN</t>
        </is>
      </c>
      <c r="G112" t="inlineStr">
        <is>
          <t>MULLSJÖ</t>
        </is>
      </c>
      <c r="I112" t="n">
        <v>13.1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40960-2023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45169</v>
      </c>
      <c r="E113" s="1" t="n">
        <v>46299</v>
      </c>
      <c r="F113" t="inlineStr">
        <is>
          <t>JÖNKÖPINGS LÄN</t>
        </is>
      </c>
      <c r="G113" t="inlineStr">
        <is>
          <t>MULLSJÖ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44977</v>
      </c>
      <c r="E114" s="1" t="n">
        <v>46299</v>
      </c>
      <c r="F114" t="inlineStr">
        <is>
          <t>JÖNKÖPINGS LÄN</t>
        </is>
      </c>
      <c r="G114" t="inlineStr">
        <is>
          <t>MULLSJÖ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16573-2025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45752</v>
      </c>
      <c r="E115" s="1" t="n">
        <v>46299</v>
      </c>
      <c r="F115" t="inlineStr">
        <is>
          <t>JÖNKÖPINGS LÄN</t>
        </is>
      </c>
      <c r="G115" t="inlineStr">
        <is>
          <t>MULLSJÖ</t>
        </is>
      </c>
      <c r="I115" t="n">
        <v>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46299</v>
      </c>
      <c r="F116" t="inlineStr">
        <is>
          <t>JÖNKÖPINGS LÄN</t>
        </is>
      </c>
      <c r="G116" t="inlineStr">
        <is>
          <t>MULLSJÖ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46299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45875</v>
      </c>
      <c r="E118" s="1" t="n">
        <v>46299</v>
      </c>
      <c r="F118" t="inlineStr">
        <is>
          <t>JÖNKÖPINGS LÄN</t>
        </is>
      </c>
      <c r="G118" t="inlineStr">
        <is>
          <t>MULLSJÖ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46299</v>
      </c>
      <c r="F119" t="inlineStr">
        <is>
          <t>JÖNKÖPINGS LÄN</t>
        </is>
      </c>
      <c r="G119" t="inlineStr">
        <is>
          <t>MULLSJÖ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37427-2025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45877</v>
      </c>
      <c r="E120" s="1" t="n">
        <v>46299</v>
      </c>
      <c r="F120" t="inlineStr">
        <is>
          <t>JÖNKÖPINGS LÄN</t>
        </is>
      </c>
      <c r="G120" t="inlineStr">
        <is>
          <t>MULLSJÖ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46299</v>
      </c>
      <c r="F121" t="inlineStr">
        <is>
          <t>JÖNKÖPINGS LÄN</t>
        </is>
      </c>
      <c r="G121" t="inlineStr">
        <is>
          <t>MULLSJÖ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45637</v>
      </c>
      <c r="E122" s="1" t="n">
        <v>46299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23787-2024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45455</v>
      </c>
      <c r="E123" s="1" t="n">
        <v>46299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46299</v>
      </c>
      <c r="F124" t="inlineStr">
        <is>
          <t>JÖNKÖPINGS LÄN</t>
        </is>
      </c>
      <c r="G124" t="inlineStr">
        <is>
          <t>MULLSJÖ</t>
        </is>
      </c>
      <c r="H124" t="inlineStr">
        <is>
          <t>Kyrkan</t>
        </is>
      </c>
      <c r="I124" t="n">
        <v>7.2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46299</v>
      </c>
      <c r="F125" t="inlineStr">
        <is>
          <t>JÖNKÖPINGS LÄN</t>
        </is>
      </c>
      <c r="G125" t="inlineStr">
        <is>
          <t>MULLSJÖ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44970</v>
      </c>
      <c r="E126" s="1" t="n">
        <v>46299</v>
      </c>
      <c r="F126" t="inlineStr">
        <is>
          <t>JÖNKÖPINGS LÄN</t>
        </is>
      </c>
      <c r="G126" t="inlineStr">
        <is>
          <t>MULLSJÖ</t>
        </is>
      </c>
      <c r="H126" t="inlineStr">
        <is>
          <t>Kommuner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Z126">
        <f>HYPERLINK("https://klasma.github.io/Logging_0642/knärot/A 7181-2023 karta knärot.png", "A 7181-2023")</f>
        <v/>
      </c>
      <c r="AA126">
        <f>HYPERLINK("https://klasma.github.io/Logging_0642/klagomål/A 7181-2023 FSC-klagomål.docx", "A 7181-2023")</f>
        <v/>
      </c>
      <c r="AB126">
        <f>HYPERLINK("https://klasma.github.io/Logging_0642/klagomålsmail/A 7181-2023 FSC-klagomål mail.docx", "A 7181-2023")</f>
        <v/>
      </c>
      <c r="AC126">
        <f>HYPERLINK("https://klasma.github.io/Logging_0642/tillsyn/A 7181-2023 tillsynsbegäran.docx", "A 7181-2023")</f>
        <v/>
      </c>
      <c r="AD126">
        <f>HYPERLINK("https://klasma.github.io/Logging_0642/tillsynsmail/A 7181-2023 tillsynsbegäran mail.docx", "A 7181-2023")</f>
        <v/>
      </c>
    </row>
    <row r="127" ht="15" customHeight="1">
      <c r="A127" t="inlineStr">
        <is>
          <t>A 28517-2026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46197</v>
      </c>
      <c r="E127" s="1" t="n">
        <v>46299</v>
      </c>
      <c r="F127" t="inlineStr">
        <is>
          <t>JÖNKÖPINGS LÄN</t>
        </is>
      </c>
      <c r="G127" t="inlineStr">
        <is>
          <t>MULLSJÖ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28508-2026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46197</v>
      </c>
      <c r="E128" s="1" t="n">
        <v>46299</v>
      </c>
      <c r="F128" t="inlineStr">
        <is>
          <t>JÖNKÖPINGS LÄN</t>
        </is>
      </c>
      <c r="G128" t="inlineStr">
        <is>
          <t>MULLSJÖ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46299</v>
      </c>
      <c r="F129" t="inlineStr">
        <is>
          <t>JÖNKÖPINGS LÄN</t>
        </is>
      </c>
      <c r="G129" t="inlineStr">
        <is>
          <t>MULLSJÖ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46299</v>
      </c>
      <c r="F130" t="inlineStr">
        <is>
          <t>JÖNKÖPINGS LÄN</t>
        </is>
      </c>
      <c r="G130" t="inlineStr">
        <is>
          <t>MULLSJÖ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46299</v>
      </c>
      <c r="F131" t="inlineStr">
        <is>
          <t>JÖNKÖPINGS LÄN</t>
        </is>
      </c>
      <c r="G131" t="inlineStr">
        <is>
          <t>MULLSJÖ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46299</v>
      </c>
      <c r="F132" t="inlineStr">
        <is>
          <t>JÖNKÖPINGS LÄN</t>
        </is>
      </c>
      <c r="G132" t="inlineStr">
        <is>
          <t>MULLSJÖ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46299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46299</v>
      </c>
      <c r="F134" t="inlineStr">
        <is>
          <t>JÖNKÖPINGS LÄN</t>
        </is>
      </c>
      <c r="G134" t="inlineStr">
        <is>
          <t>MULLSJÖ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31162-2026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46216</v>
      </c>
      <c r="E135" s="1" t="n">
        <v>46299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46216</v>
      </c>
      <c r="E136" s="1" t="n">
        <v>46299</v>
      </c>
      <c r="F136" t="inlineStr">
        <is>
          <t>JÖNKÖPINGS LÄN</t>
        </is>
      </c>
      <c r="G136" t="inlineStr">
        <is>
          <t>MULLSJÖ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52385-2022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46299</v>
      </c>
      <c r="F137" t="inlineStr">
        <is>
          <t>JÖNKÖPINGS LÄN</t>
        </is>
      </c>
      <c r="G137" t="inlineStr">
        <is>
          <t>MULLSJÖ</t>
        </is>
      </c>
      <c r="I137" t="n">
        <v>10.9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56145-2022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44889</v>
      </c>
      <c r="E138" s="1" t="n">
        <v>46299</v>
      </c>
      <c r="F138" t="inlineStr">
        <is>
          <t>JÖNKÖPINGS LÄN</t>
        </is>
      </c>
      <c r="G138" t="inlineStr">
        <is>
          <t>MULLSJÖ</t>
        </is>
      </c>
      <c r="I138" t="n">
        <v>14.1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35115-2026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46260</v>
      </c>
      <c r="E139" s="1" t="n">
        <v>46299</v>
      </c>
      <c r="F139" t="inlineStr">
        <is>
          <t>JÖNKÖPINGS LÄN</t>
        </is>
      </c>
      <c r="G139" t="inlineStr">
        <is>
          <t>MULLSJÖ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36412-2026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46268</v>
      </c>
      <c r="E140" s="1" t="n">
        <v>46299</v>
      </c>
      <c r="F140" t="inlineStr">
        <is>
          <t>JÖNKÖPINGS LÄN</t>
        </is>
      </c>
      <c r="G140" t="inlineStr">
        <is>
          <t>MULLSJÖ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36414-2026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46268</v>
      </c>
      <c r="E141" s="1" t="n">
        <v>46299</v>
      </c>
      <c r="F141" t="inlineStr">
        <is>
          <t>JÖNKÖPINGS LÄN</t>
        </is>
      </c>
      <c r="G141" t="inlineStr">
        <is>
          <t>MULLSJÖ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46268</v>
      </c>
      <c r="E142" s="1" t="n">
        <v>46299</v>
      </c>
      <c r="F142" t="inlineStr">
        <is>
          <t>JÖNKÖPINGS LÄN</t>
        </is>
      </c>
      <c r="G142" t="inlineStr">
        <is>
          <t>MULLSJÖ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46299</v>
      </c>
      <c r="F143" t="inlineStr">
        <is>
          <t>JÖNKÖPINGS LÄN</t>
        </is>
      </c>
      <c r="G143" t="inlineStr">
        <is>
          <t>MULLSJÖ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44954</v>
      </c>
      <c r="E144" s="1" t="n">
        <v>46299</v>
      </c>
      <c r="F144" t="inlineStr">
        <is>
          <t>JÖNKÖPINGS LÄN</t>
        </is>
      </c>
      <c r="G144" t="inlineStr">
        <is>
          <t>MULLSJÖ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12273-2023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44998</v>
      </c>
      <c r="E145" s="1" t="n">
        <v>46299</v>
      </c>
      <c r="F145" t="inlineStr">
        <is>
          <t>JÖNKÖPINGS LÄN</t>
        </is>
      </c>
      <c r="G145" t="inlineStr">
        <is>
          <t>MULLSJÖ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31984-2026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46232</v>
      </c>
      <c r="E146" s="1" t="n">
        <v>46299</v>
      </c>
      <c r="F146" t="inlineStr">
        <is>
          <t>JÖNKÖPINGS LÄN</t>
        </is>
      </c>
      <c r="G146" t="inlineStr">
        <is>
          <t>MULLSJÖ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44865</v>
      </c>
      <c r="E147" s="1" t="n">
        <v>46299</v>
      </c>
      <c r="F147" t="inlineStr">
        <is>
          <t>JÖNKÖPINGS LÄN</t>
        </is>
      </c>
      <c r="G147" t="inlineStr">
        <is>
          <t>MULLSJÖ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11457-2023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44993</v>
      </c>
      <c r="E148" s="1" t="n">
        <v>46299</v>
      </c>
      <c r="F148" t="inlineStr">
        <is>
          <t>JÖNKÖPINGS LÄN</t>
        </is>
      </c>
      <c r="G148" t="inlineStr">
        <is>
          <t>MULLSJÖ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45244</v>
      </c>
      <c r="E149" s="1" t="n">
        <v>46299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46299</v>
      </c>
      <c r="F150" t="inlineStr">
        <is>
          <t>JÖNKÖPINGS LÄN</t>
        </is>
      </c>
      <c r="G150" t="inlineStr">
        <is>
          <t>MULLSJÖ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46240</v>
      </c>
      <c r="E151" s="1" t="n">
        <v>46299</v>
      </c>
      <c r="F151" t="inlineStr">
        <is>
          <t>JÖNKÖPINGS LÄN</t>
        </is>
      </c>
      <c r="G151" t="inlineStr">
        <is>
          <t>MULLSJÖ</t>
        </is>
      </c>
      <c r="I151" t="n">
        <v>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32699-2026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46240</v>
      </c>
      <c r="E152" s="1" t="n">
        <v>46299</v>
      </c>
      <c r="F152" t="inlineStr">
        <is>
          <t>JÖNKÖPINGS LÄN</t>
        </is>
      </c>
      <c r="G152" t="inlineStr">
        <is>
          <t>MULLSJÖ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44938</v>
      </c>
      <c r="E153" s="1" t="n">
        <v>46299</v>
      </c>
      <c r="F153" t="inlineStr">
        <is>
          <t>JÖNKÖPINGS LÄN</t>
        </is>
      </c>
      <c r="G153" t="inlineStr">
        <is>
          <t>MULLSJÖ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44796</v>
      </c>
      <c r="E154" s="1" t="n">
        <v>46299</v>
      </c>
      <c r="F154" t="inlineStr">
        <is>
          <t>JÖNKÖPINGS LÄN</t>
        </is>
      </c>
      <c r="G154" t="inlineStr">
        <is>
          <t>MULLSJÖ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44656</v>
      </c>
      <c r="E155" s="1" t="n">
        <v>46299</v>
      </c>
      <c r="F155" t="inlineStr">
        <is>
          <t>JÖNKÖPINGS LÄN</t>
        </is>
      </c>
      <c r="G155" t="inlineStr">
        <is>
          <t>MULLSJÖ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44656</v>
      </c>
      <c r="E156" s="1" t="n">
        <v>46299</v>
      </c>
      <c r="F156" t="inlineStr">
        <is>
          <t>JÖNKÖPINGS LÄN</t>
        </is>
      </c>
      <c r="G156" t="inlineStr">
        <is>
          <t>MULLSJÖ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46299</v>
      </c>
      <c r="F157" t="inlineStr">
        <is>
          <t>JÖNKÖPINGS LÄN</t>
        </is>
      </c>
      <c r="G157" t="inlineStr">
        <is>
          <t>MULLSJÖ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46246</v>
      </c>
      <c r="E158" s="1" t="n">
        <v>46299</v>
      </c>
      <c r="F158" t="inlineStr">
        <is>
          <t>JÖNKÖPINGS LÄN</t>
        </is>
      </c>
      <c r="G158" t="inlineStr">
        <is>
          <t>MULLSJÖ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45469</v>
      </c>
      <c r="E159" s="1" t="n">
        <v>46299</v>
      </c>
      <c r="F159" t="inlineStr">
        <is>
          <t>JÖNKÖPINGS LÄN</t>
        </is>
      </c>
      <c r="G159" t="inlineStr">
        <is>
          <t>MULLSJÖ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46293</v>
      </c>
      <c r="E160" s="1" t="n">
        <v>46299</v>
      </c>
      <c r="F160" t="inlineStr">
        <is>
          <t>JÖNKÖPINGS LÄN</t>
        </is>
      </c>
      <c r="G160" t="inlineStr">
        <is>
          <t>MULLSJÖ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42872-2022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44832</v>
      </c>
      <c r="E161" s="1" t="n">
        <v>46299</v>
      </c>
      <c r="F161" t="inlineStr">
        <is>
          <t>JÖNKÖPINGS LÄN</t>
        </is>
      </c>
      <c r="G161" t="inlineStr">
        <is>
          <t>MULLSJÖ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40617-2026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46295</v>
      </c>
      <c r="E162" s="1" t="n">
        <v>46299</v>
      </c>
      <c r="F162" t="inlineStr">
        <is>
          <t>JÖNKÖPINGS LÄN</t>
        </is>
      </c>
      <c r="G162" t="inlineStr">
        <is>
          <t>MULLSJÖ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46299</v>
      </c>
      <c r="F163" t="inlineStr">
        <is>
          <t>JÖNKÖPINGS LÄN</t>
        </is>
      </c>
      <c r="G163" t="inlineStr">
        <is>
          <t>MULLSJÖ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46299</v>
      </c>
      <c r="F164" t="inlineStr">
        <is>
          <t>JÖNKÖPINGS LÄN</t>
        </is>
      </c>
      <c r="G164" t="inlineStr">
        <is>
          <t>MULLSJÖ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45401</v>
      </c>
      <c r="E165" s="1" t="n">
        <v>46299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11117-2023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44992</v>
      </c>
      <c r="E166" s="1" t="n">
        <v>46299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37124-2026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46274</v>
      </c>
      <c r="E167" s="1" t="n">
        <v>46299</v>
      </c>
      <c r="F167" t="inlineStr">
        <is>
          <t>JÖNKÖPINGS LÄN</t>
        </is>
      </c>
      <c r="G167" t="inlineStr">
        <is>
          <t>MULLSJÖ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46299</v>
      </c>
      <c r="F168" t="inlineStr">
        <is>
          <t>JÖNKÖPINGS LÄN</t>
        </is>
      </c>
      <c r="G168" t="inlineStr">
        <is>
          <t>MULLSJÖ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46299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45204</v>
      </c>
      <c r="E170" s="1" t="n">
        <v>46299</v>
      </c>
      <c r="F170" t="inlineStr">
        <is>
          <t>JÖNKÖPINGS LÄN</t>
        </is>
      </c>
      <c r="G170" t="inlineStr">
        <is>
          <t>MULLSJÖ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46299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45016</v>
      </c>
      <c r="E172" s="1" t="n">
        <v>46299</v>
      </c>
      <c r="F172" t="inlineStr">
        <is>
          <t>JÖNKÖPINGS LÄN</t>
        </is>
      </c>
      <c r="G172" t="inlineStr">
        <is>
          <t>MULLSJÖ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45752</v>
      </c>
      <c r="E173" s="1" t="n">
        <v>46299</v>
      </c>
      <c r="F173" t="inlineStr">
        <is>
          <t>JÖNKÖPINGS LÄN</t>
        </is>
      </c>
      <c r="G173" t="inlineStr">
        <is>
          <t>MULLSJÖ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46299</v>
      </c>
      <c r="F174" t="inlineStr">
        <is>
          <t>JÖNKÖPINGS LÄN</t>
        </is>
      </c>
      <c r="G174" t="inlineStr">
        <is>
          <t>MULLSJÖ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16349-2022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44670</v>
      </c>
      <c r="E175" s="1" t="n">
        <v>46299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11281-2024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45371</v>
      </c>
      <c r="E176" s="1" t="n">
        <v>46299</v>
      </c>
      <c r="F176" t="inlineStr">
        <is>
          <t>JÖNKÖPINGS LÄN</t>
        </is>
      </c>
      <c r="G176" t="inlineStr">
        <is>
          <t>MULLSJÖ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45246</v>
      </c>
      <c r="E177" s="1" t="n">
        <v>46299</v>
      </c>
      <c r="F177" t="inlineStr">
        <is>
          <t>JÖNKÖPINGS LÄN</t>
        </is>
      </c>
      <c r="G177" t="inlineStr">
        <is>
          <t>MULLSJÖ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46299</v>
      </c>
      <c r="F178" t="inlineStr">
        <is>
          <t>JÖNKÖPINGS LÄN</t>
        </is>
      </c>
      <c r="G178" t="inlineStr">
        <is>
          <t>MULLSJÖ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46299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46299</v>
      </c>
      <c r="F180" t="inlineStr">
        <is>
          <t>JÖNKÖPINGS LÄN</t>
        </is>
      </c>
      <c r="G180" t="inlineStr">
        <is>
          <t>MULLSJÖ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46299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46299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46299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2026-10-04T01:56:43Z</dcterms:created>
  <dcterms:modified xmlns:dcterms="http://purl.org/dc/terms/" xmlns:xsi="http://www.w3.org/2001/XMLSchema-instance" xsi:type="dcterms:W3CDTF">2026-10-04T01:56:43Z</dcterms:modified>
</cp:coreProperties>
</file>